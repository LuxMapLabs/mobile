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 dan" sheetId="1" r:id="rId5"/>
    <sheet state="visible" name="Field Ops" sheetId="2" r:id="rId6"/>
    <sheet state="visible" name="Backend" sheetId="3" r:id="rId7"/>
    <sheet state="visible" name="IoT-Firmware" sheetId="4" r:id="rId8"/>
    <sheet state="visible" name="CV-Analytics" sheetId="5" r:id="rId9"/>
    <sheet state="visible" name="Frontend-Desktop" sheetId="6" r:id="rId10"/>
    <sheet state="visible" name="Frontend-Mobile" sheetId="7" r:id="rId11"/>
    <sheet state="visible" name="Tong hop" sheetId="8" r:id="rId12"/>
    <sheet state="visible" name="Danh muc" sheetId="9" r:id="rId13"/>
  </sheets>
  <definedNames>
    <definedName hidden="1" localSheetId="1" name="_xlnm._FilterDatabase">'Field Ops'!$A$2:$AJ$30</definedName>
    <definedName hidden="1" localSheetId="2" name="_xlnm._FilterDatabase">Backend!$A$2:$AJ$46</definedName>
    <definedName hidden="1" localSheetId="3" name="_xlnm._FilterDatabase">'IoT-Firmware'!$A$2:$AJ$20</definedName>
    <definedName hidden="1" localSheetId="4" name="_xlnm._FilterDatabase">'CV-Analytics'!$A$2:$AJ$23</definedName>
    <definedName hidden="1" localSheetId="5" name="_xlnm._FilterDatabase">'Frontend-Desktop'!$A$2:$AJ$37</definedName>
    <definedName hidden="1" localSheetId="6" name="_xlnm._FilterDatabase">'Frontend-Mobile'!$A$2:$AJ$26</definedName>
  </definedNames>
  <calcPr/>
</workbook>
</file>

<file path=xl/sharedStrings.xml><?xml version="1.0" encoding="utf-8"?>
<sst xmlns="http://schemas.openxmlformats.org/spreadsheetml/2006/main" count="2846" uniqueCount="957">
  <si>
    <t>LUXMAP — BẢNG THEO DÕI CÔNG VIỆC  ·  v2.1</t>
  </si>
  <si>
    <t>FIELD OPS — Thực địa, dataset, thử nghiệm · WP1 (chủ trì: FE3 – Khang)</t>
  </si>
  <si>
    <t>Cập nhật 24/08/2026 · Phương án đã chốt: Nhánh C</t>
  </si>
  <si>
    <t>PHẠM VI ĐÃ CHỐT — NHÁNH C</t>
  </si>
  <si>
    <t>Quyết định</t>
  </si>
  <si>
    <t>FO-01 đã chốt ngày 24/08/2026: nghiên cứu trên ảnh đêm công khai + bộ hiệu chuẩn tự dựng + dữ liệu IoT mô phỏng. KHÔNG có thử nghiệm hiện trường.</t>
  </si>
  <si>
    <t>Ba nguồn dữ liệu</t>
  </si>
  <si>
    <t>(1) Ảnh đêm công khai — cho phần PHÁT HIỆN. (2) Bộ hiệu chuẩn tự dựng (FO-07) — cho phần CHUẨN HOÁ và PHÂN LOẠI, là ground truth photometric duy nhất. (3) Dữ liệu IoT mô phỏng (FO-25) — cho phần RUNTIME.</t>
  </si>
  <si>
    <t>Quy tắc báo cáo số liệu</t>
  </si>
  <si>
    <t>IOT NODE &amp; TELEMETRY · WP3 (BE2 – Đạt)</t>
  </si>
  <si>
    <t>BACKEND — ASP.NET Core + PostGIS · WP2 (BE1 – Mỹ)</t>
  </si>
  <si>
    <t>Ba nguồn trên phải báo cáo TÁCH RIÊNG ở mọi bảng kết quả. Không gộp chỉ số giữa dữ liệu có ground truth thật (hiệu chuẩn) và dữ liệu gán nhãn cảm quan (ảnh công khai), cũng không gộp telemetry thật với dữ liệu mô phỏng.</t>
  </si>
  <si>
    <t>RQ1 — không đổi phạm vi</t>
  </si>
  <si>
    <t>Vẫn trả lời được đầy đủ: chuẩn hoá phơi sáng, chuẩn hoá khoảng cách, baseline theo từng bóng, đối chiếu lux. Trên bộ hiệu chuẩn, ground truth còn SẠCH HƠN ngoài đường vì kiểm soát được biến.</t>
  </si>
  <si>
    <t>RQ2 — ĐÃ HẠ PHẠM VI</t>
  </si>
  <si>
    <t>Chuyển từ câu hỏi thực nghiệm (runtime pin có suy giảm dự đoán được không) sang câu hỏi thuật toán (thuật toán phát hiện được suy giảm ở mức nhiễu nào). Phải viết lại trong proposal ở FO-24.</t>
  </si>
  <si>
    <t>Mã</t>
  </si>
  <si>
    <t>Bộ hiệu chuẩn FO-07 là điểm chịu lực</t>
  </si>
  <si>
    <t>Đây là hạng mục quan trọng nhất của cả kỳ. Hỏng FO-07 là mất toàn bộ đóng góp nghiên cứu, không còn phương án dự phòng nào phía sau.</t>
  </si>
  <si>
    <t>Camera vẫn là cổng chặn</t>
  </si>
  <si>
    <t>FO-03 không đổi. Ảnh công khai không có metadata phơi sáng, nên toàn bộ nhánh chuẩn hoá chỉ chạy trên ảnh do nhóm tự chụp bộ hiệu chuẩn.</t>
  </si>
  <si>
    <t>GIẢ ĐỊNH LỊCH TRÌNH — CẦN XÁC NHẬN</t>
  </si>
  <si>
    <t>Nhóm</t>
  </si>
  <si>
    <t>Công việc</t>
  </si>
  <si>
    <t>Khung thời gian</t>
  </si>
  <si>
    <t>Kết quả cần đạt</t>
  </si>
  <si>
    <t>W0: 18/08–06/09/2026 · W1–W21: 07/09/2026–31/01/2027</t>
  </si>
  <si>
    <t>Người phụ trách</t>
  </si>
  <si>
    <t>Căn cứ</t>
  </si>
  <si>
    <t>Tuần</t>
  </si>
  <si>
    <t>Duration 09/2026–03/2027 trên form đăng ký FA26SE222</t>
  </si>
  <si>
    <t>Bắt đầu</t>
  </si>
  <si>
    <t>Kết thúc</t>
  </si>
  <si>
    <t>Sau W21</t>
  </si>
  <si>
    <t>Nghỉ Tết, hoàn thiện báo cáo và bảo vệ trong 03/2027</t>
  </si>
  <si>
    <t>Ưu tiên</t>
  </si>
  <si>
    <t>⚠ Nếu mốc thật là 8 tuần</t>
  </si>
  <si>
    <t>Trạng thái</t>
  </si>
  <si>
    <t>LuxMap KHÔNG khả thi. Riêng gán nhãn dataset (FO-13) và tích luỹ dữ liệu runtime đã vượt khung đó.</t>
  </si>
  <si>
    <t>% hoàn thành</t>
  </si>
  <si>
    <t>Phụ thuộc</t>
  </si>
  <si>
    <t>PHÂN CÔNG WORK PACKAGE</t>
  </si>
  <si>
    <t>Nguồn gốc</t>
  </si>
  <si>
    <t>Ghi chú</t>
  </si>
  <si>
    <t>W0</t>
  </si>
  <si>
    <t>W1</t>
  </si>
  <si>
    <t>W2</t>
  </si>
  <si>
    <t>WP1 — PM/BA, nghiên cứu domain, thực địa</t>
  </si>
  <si>
    <t>W3</t>
  </si>
  <si>
    <t>FE3 – Khang chủ trì · cả nhóm tham gia chiến dịch khảo sát và gán nhãn</t>
  </si>
  <si>
    <t>W4</t>
  </si>
  <si>
    <t>W5</t>
  </si>
  <si>
    <t>WP2 — Backend, PostGIS, quy trình sửa chữa</t>
  </si>
  <si>
    <t>BE1 – Mỹ</t>
  </si>
  <si>
    <t>W6</t>
  </si>
  <si>
    <t>WP3 — IoT node &amp; firmware</t>
  </si>
  <si>
    <t>W7</t>
  </si>
  <si>
    <t>BE2 – Đạt  ⚠ đổi mảng từ API nghiệp vụ sang embedded</t>
  </si>
  <si>
    <t>W8</t>
  </si>
  <si>
    <t>W9</t>
  </si>
  <si>
    <t>WP4 — Computer Vision &amp; phân tích sự cố</t>
  </si>
  <si>
    <t>FE1 – Thịnh  ⚠ đổi mảng từ frontend sang AI/CV</t>
  </si>
  <si>
    <t>W10</t>
  </si>
  <si>
    <t>W11</t>
  </si>
  <si>
    <t>WP5 — Frontend máy tính (dashboard GIS)</t>
  </si>
  <si>
    <t>W12</t>
  </si>
  <si>
    <t>FE3 – Khang</t>
  </si>
  <si>
    <t>WP6 — Frontend di động (khảo sát + sửa chữa)</t>
  </si>
  <si>
    <t>FE2 – Ngọc</t>
  </si>
  <si>
    <t>W13</t>
  </si>
  <si>
    <t>VAI TRÒ HỆ THỐNG</t>
  </si>
  <si>
    <t>W14</t>
  </si>
  <si>
    <t>W15</t>
  </si>
  <si>
    <t>W16</t>
  </si>
  <si>
    <t>W17</t>
  </si>
  <si>
    <t>Cơ quan quản lý</t>
  </si>
  <si>
    <t>W18</t>
  </si>
  <si>
    <t>Máy tính — bản đồ mạng lưới, phân tích vùng tối, duyệt đợt sửa chữa và ngân sách, báo cáo</t>
  </si>
  <si>
    <t>W19</t>
  </si>
  <si>
    <t>Kỹ sư bảo trì</t>
  </si>
  <si>
    <t>W20</t>
  </si>
  <si>
    <t>Máy tính — đăng ký tài sản, duyệt sự cố, xem lịch sử tình trạng cột, tạo và nghiệm thu work order</t>
  </si>
  <si>
    <t>W21</t>
  </si>
  <si>
    <t>Tổ khảo sát / sửa chữa</t>
  </si>
  <si>
    <t>Di động — lập tuyến khảo sát, chụp ảnh đêm, nhận việc, cập nhật và đóng việc tại chỗ (offline)</t>
  </si>
  <si>
    <t>FO-01</t>
  </si>
  <si>
    <t>Quản trị</t>
  </si>
  <si>
    <t>Máy tính — người dùng, danh mục, trọng số ưu tiên, node IoT, phiên bản firmware và model AI</t>
  </si>
  <si>
    <t>Cổng quyết định</t>
  </si>
  <si>
    <t>❌ Người dân (Citizen)</t>
  </si>
  <si>
    <t>KHÔNG CÒN. Sự cố do engine IoT/CV sinh ra hoặc do tổ khảo sát báo tại chỗ (BE-41), không do người dân tạo.</t>
  </si>
  <si>
    <t>Chốt phương án thử nghiệm hiện trường</t>
  </si>
  <si>
    <t>ĐƯỜNG GĂNG</t>
  </si>
  <si>
    <t>ĐÃ CHỐT 24/08/2026 — Nhánh C: ảnh đêm công khai + IoT mô phỏng + bộ hiệu chuẩn tự dựng</t>
  </si>
  <si>
    <t>Chuỗi găng</t>
  </si>
  <si>
    <t>FO-03 camera → FO-07 bộ hiệu chuẩn → FO-14 đo lux → CV-07/08 chuẩn hoá → CV-09 kiểm chứng → CV-11/12 phân loại → RQ1</t>
  </si>
  <si>
    <t>Hệ quả</t>
  </si>
  <si>
    <t>Bộ hiệu chuẩn phải chạy được trong W3. Chậm FO-07 là chậm toàn bộ đóng góp nghiên cứu.</t>
  </si>
  <si>
    <t>Nhánh song song</t>
  </si>
  <si>
    <t>Phần phát hiện (CV-01→CV-06) chạy trên ảnh công khai, độc lập với bộ hiệu chuẩn. Toàn bộ WP2/WP5/WP6 không bị ảnh hưởng bởi nhánh C.</t>
  </si>
  <si>
    <t>MỐC QUAN TRỌNG — GATE THEO DỮ LIỆU</t>
  </si>
  <si>
    <t>18/08/2026</t>
  </si>
  <si>
    <t>06/09/2026</t>
  </si>
  <si>
    <t>Cuối W1</t>
  </si>
  <si>
    <t>Đã chốt nhánh C (xong) + camera khoá được phơi sáng (FO-03) + bộ hiệu chuẩn bắt đầu dựng. Thiếu FO-03 → dừng.</t>
  </si>
  <si>
    <t>Cao</t>
  </si>
  <si>
    <t>Cuối W3</t>
  </si>
  <si>
    <t>Bộ hiệu chuẩn FO-07 hoạt động + bộ ảnh đêm công khai v1 đã chuẩn hoá (FO-11)</t>
  </si>
  <si>
    <t>Hoàn thành</t>
  </si>
  <si>
    <t>100%</t>
  </si>
  <si>
    <t>Cuối W7</t>
  </si>
  <si>
    <t>Dataset v1 gán nhãn xong; baseline detector on/off chạy được</t>
  </si>
  <si>
    <t>SỬA</t>
  </si>
  <si>
    <t>Cuối W9</t>
  </si>
  <si>
    <t>ĐÃ CHỐT. Nhánh A (tìm đối tác mới) và nhánh B (khảo sát đường công cộng) KHÔNG theo đuổi. Mọi task bên dưới đã viết lại theo nhánh C.</t>
  </si>
  <si>
    <t>Chuẩn hoá phơi sáng + khoảng cách đã kiểm chứng trên bộ hiệu chuẩn (CV-09) — mốc kỹ thuật quan trọng nhất</t>
  </si>
  <si>
    <t>Cuối W10</t>
  </si>
  <si>
    <t>Node IoT bench đẩy telemetry thật lên server (FO-17); dữ liệu mô phỏng FO-25 đã đối chiếu tài liệu (FO-27)</t>
  </si>
  <si>
    <t>IOT-01</t>
  </si>
  <si>
    <t>Cuối W13</t>
  </si>
  <si>
    <t>Phần cứng</t>
  </si>
  <si>
    <t>Phân loại normal/dim/out/unknown chạy được; có số agreement với lux trên bộ hiệu chuẩn (CV-12 — trả lời RQ1)</t>
  </si>
  <si>
    <t>BE-00</t>
  </si>
  <si>
    <t>Cuối W17</t>
  </si>
  <si>
    <t>Khảo sát linh kiện và chốt BOM</t>
  </si>
  <si>
    <t>Dashboard GIS + luồng work order đầy đủ; clustering nguyên nhân hoạt động</t>
  </si>
  <si>
    <t>Cuối W19</t>
  </si>
  <si>
    <t>Danh sách: MCU, cảm biến dòng, cảm biến ánh sáng, RTC, module LoRa — có giá và nguồn mua</t>
  </si>
  <si>
    <t>Đánh giá trên tập held-out, chỉ số tách riêng theo lớp VÀ theo nguồn dữ liệu (CV-18)</t>
  </si>
  <si>
    <t>Cuối W21</t>
  </si>
  <si>
    <t>Báo cáo đầy đủ + phần Threats to Validity nêu chủ động giới hạn của nhánh C</t>
  </si>
  <si>
    <t>RỦI RO CẦN CHỐT SỚM</t>
  </si>
  <si>
    <t>FO-01D</t>
  </si>
  <si>
    <t>Triển khai nhánh C — xác định phạm vi dữ liệu thay thế</t>
  </si>
  <si>
    <t>Bộ hiệu chuẩn FO-07 hỏng hoặc trễ</t>
  </si>
  <si>
    <t>Danh mục nguồn ảnh đêm công khai đã kiểm chứng license + kế hoạch sinh dữ liệu IoT mô phỏng + đặc tả bộ hiệu chuẩn</t>
  </si>
  <si>
    <t>RỦI RO SỐ 1. Không còn phương án dự phòng phía sau. Dựng sớm ở W1, kiểm chứng ngay, đừng để đến W5 mới phát hiện bố trí sai.</t>
  </si>
  <si>
    <t>Hội đồng chất vấn tính thực tiễn</t>
  </si>
  <si>
    <t>BE2 – Đạt</t>
  </si>
  <si>
    <t>Nhánh C không có dữ liệu thực địa. Giảm thiểu bằng: FO-09 (đặc tả giao thức khảo sát đã thiết kế), FO-27 (neo mô phỏng vào tài liệu công bố), CV-21 (phân tích độ nhạy).</t>
  </si>
  <si>
    <t>FE1 – Thịnh</t>
  </si>
  <si>
    <t>W0–W1</t>
  </si>
  <si>
    <t>Không đủ mẫu 'dim' trong ảnh công khai</t>
  </si>
  <si>
    <t>13/09/2026</t>
  </si>
  <si>
    <t>W1–W2</t>
  </si>
  <si>
    <t>Gần như chắc chắn xảy ra. Đã xử lý: lớp dim chủ yếu đến từ bộ hiệu chuẩn FO-07, không từ ảnh công khai.</t>
  </si>
  <si>
    <t>Camera không khoá được phơi sáng</t>
  </si>
  <si>
    <t>07/09/2026</t>
  </si>
  <si>
    <t>Chưa bắt đầu</t>
  </si>
  <si>
    <t>Ảnh auto-exposure KHÔNG sửa được sau khi chụp. Ở nhánh C camera chỉ dùng cho bộ hiệu chuẩn, nhưng vẫn là cổng chặn tuyệt đối cho RQ1.</t>
  </si>
  <si>
    <t>0%</t>
  </si>
  <si>
    <t>20/09/2026</t>
  </si>
  <si>
    <t>Gán nhãn dataset (FO-13)</t>
  </si>
  <si>
    <t>Nền tảng</t>
  </si>
  <si>
    <t>Task tốn công nhất và hay bị đánh giá thấp nhất. Chia đều cả nhóm, không giao một người.</t>
  </si>
  <si>
    <t>Kiểm license từng nguồn ảnh TRƯỚC khi đưa vào dataset — dùng ảnh không rõ quyền sẽ bị hội đồng chất vấn.</t>
  </si>
  <si>
    <t>Thời gian giao linh kiện IoT</t>
  </si>
  <si>
    <t>Đặt hàng ngay ở IOT-01, không chờ đến khi cần dùng.</t>
  </si>
  <si>
    <t>Dữ liệu runtime là mô phỏng</t>
  </si>
  <si>
    <t>Hiện thực đúng API Contract v1.0 — quy ước toàn cục</t>
  </si>
  <si>
    <t>RQ2 đã hạ phạm vi thành câu hỏi thuật toán. Bắt buộc neo tham số mô phỏng vào tài liệu công bố (FO-27), nếu không phần này không có giá trị khoa học.</t>
  </si>
  <si>
    <t>FO-04</t>
  </si>
  <si>
    <t>Lệch schema BE↔FE</t>
  </si>
  <si>
    <t>JSON snake_case (JsonNamingPolicy.SnakeCaseLower), API luôn trả EPSG:4326, TIMESTAMPTZ với DateTimeKind.Utc, enum trả chuỗi thường</t>
  </si>
  <si>
    <t>FO-02</t>
  </si>
  <si>
    <t>GIỮ</t>
  </si>
  <si>
    <t>Đã giảm mạnh nhờ API Contract v1.0, nhưng chỉ có tác dụng nếu FW-00 (buổi review) thực sự diễn ra ở W1.</t>
  </si>
  <si>
    <t>Chuẩn bị</t>
  </si>
  <si>
    <t>Khảo sát và phân loại nguồn ảnh đêm công khai</t>
  </si>
  <si>
    <t>Đặt hàng sớm, thời gian giao là rủi ro lịch trình</t>
  </si>
  <si>
    <t>CỘT NGUỒN GỐC &amp; CÁCH DÙNG</t>
  </si>
  <si>
    <t>Bảng đánh giá từng nguồn: độ phân giải, có/không metadata phơi sáng, có/không GPS, license, số cột đèn quan sát được</t>
  </si>
  <si>
    <t>Dùng lại gần như nguyên vẹn từ dự án trước — không phải làm lại</t>
  </si>
  <si>
    <t>Có sẵn nhưng phải sửa đáng kể (đổi domain, đổi vai trò, mở rộng, hoặc đổi vì v2.0)</t>
  </si>
  <si>
    <t>MỚI</t>
  </si>
  <si>
    <t>Chưa từng tồn tại</t>
  </si>
  <si>
    <t>Bước 1</t>
  </si>
  <si>
    <t>THAY nhiệm vụ trinh sát thực địa. Kết luận quan trọng nhất: nguồn nào có metadata phơi sáng (gần như chắc chắn KHÔNG có nguồn nào) — quyết định phạm vi RQ1.</t>
  </si>
  <si>
    <t>Mỗi người vào sheet WP của mình, lọc theo cột 'Người phụ trách'</t>
  </si>
  <si>
    <t>Bước 2</t>
  </si>
  <si>
    <t>Cập nhật 'Trạng thái' và '% hoàn thành' mỗi ngày. Ô trạng thái tự đổi màu.</t>
  </si>
  <si>
    <t>Bước 3</t>
  </si>
  <si>
    <t>Việc bị vướng thì đổi sang 'Bị chặn' và ghi lý do vào cột 'Ghi chú'</t>
  </si>
  <si>
    <t>Bước 4</t>
  </si>
  <si>
    <t>Sheet 'Tong hop' tự đếm tiến độ — không sửa tay sheet đó</t>
  </si>
  <si>
    <t>FO-03</t>
  </si>
  <si>
    <t>Chốt camera khoá được phơi sáng + thử chụp 1 đêm</t>
  </si>
  <si>
    <t>IOT-02</t>
  </si>
  <si>
    <t>Chụp thử được ảnh có ISO/shutter/aperture cố định và ghi đủ metadata nhúng</t>
  </si>
  <si>
    <t>Dựng gateway LoRaWAN phạm vi bench</t>
  </si>
  <si>
    <t>Gateway tự dựng phủ được khu vực đặt bộ hiệu chuẩn; ghi nhận giới hạn phạm vi so với triển khai thực địa</t>
  </si>
  <si>
    <t>MỚI v2.0 — contract đã CHỐT ngày 23/08/2026. Đây là hợp đồng với WP5/WP6: đổi field hay enum phải mở issue, không đổi ngầm.</t>
  </si>
  <si>
    <t>VẪN LÀ CỔNG CHẶN Ở NHÁNH C — camera dùng để chụp bộ hiệu chuẩn FO-07, không phải để khảo sát đường. Không có camera khoá được phơi sáng thì RQ1 sụp hoàn toàn.</t>
  </si>
  <si>
    <t>14/09/2026</t>
  </si>
  <si>
    <t>Chốt ngân sách và nguồn mua phần cứng</t>
  </si>
  <si>
    <t>Danh sách có giá: camera, lux meter, linh kiện bộ hiệu chuẩn, 2–3 bộ node IoT cho bench demo</t>
  </si>
  <si>
    <t>NHÁNH C: không cần khảo sát phủ sóng nông thôn. Ghi rõ trong báo cáo đây là giới hạn phạm vi đã biết.</t>
  </si>
  <si>
    <t>BE-01</t>
  </si>
  <si>
    <t>CẮT GIẢM theo nhánh C: bỏ node lắp ngoài trời số lượng lớn, bỏ gá xe khảo sát. Dồn ngân sách vào bộ hiệu chuẩn và lux meter.</t>
  </si>
  <si>
    <t>Solution .NET modular monolith</t>
  </si>
  <si>
    <t>Solution chạy được, chia project theo module</t>
  </si>
  <si>
    <t>IOT-03</t>
  </si>
  <si>
    <t>FO-05</t>
  </si>
  <si>
    <t>Nguyên mẫu breadboard: đo dòng và đo ánh sáng</t>
  </si>
  <si>
    <t>Chốt phân công lại WP và bàn giao việc đang dở</t>
  </si>
  <si>
    <t>Đọc được dòng qua đèn và mức sáng môi trường trên bàn thí nghiệm</t>
  </si>
  <si>
    <t>Mỗi người biết rõ WP mới; code dự án cũ được đóng băng ở nhánh riêng</t>
  </si>
  <si>
    <t>Cả nhóm</t>
  </si>
  <si>
    <t>W3–W4</t>
  </si>
  <si>
    <t>21/09/2026</t>
  </si>
  <si>
    <t>04/10/2026</t>
  </si>
  <si>
    <t>Đạt và Thịnh đổi mảng hoàn toàn — cần thời gian học</t>
  </si>
  <si>
    <t>FO-06</t>
  </si>
  <si>
    <t>Chỉ đổi tên module sang domain LuxMap</t>
  </si>
  <si>
    <t>Dataset</t>
  </si>
  <si>
    <t>Kiểm đếm phân bố tình trạng đèn trong ảnh công khai</t>
  </si>
  <si>
    <t>Bảng đếm normal/dim/out quan sát được; xác định lớp 'dim' có đủ mẫu để train detector không</t>
  </si>
  <si>
    <t>IOT-04</t>
  </si>
  <si>
    <t>Firmware</t>
  </si>
  <si>
    <t>Ảnh công khai gần như chắc chắn thiếu mẫu 'dim' rõ ràng → càng khẳng định bộ hiệu chuẩn FO-07 là bắt buộc, không phải tuỳ chọn.</t>
  </si>
  <si>
    <t>Firmware v1: đọc cảm biến + mốc thời gian RTC</t>
  </si>
  <si>
    <t>Node ghi được chuỗi số đọc có timestamp chính xác</t>
  </si>
  <si>
    <t>W4–W5</t>
  </si>
  <si>
    <t>28/09/2026</t>
  </si>
  <si>
    <t>11/10/2026</t>
  </si>
  <si>
    <t>BE-02</t>
  </si>
  <si>
    <t>FO-07</t>
  </si>
  <si>
    <t>Docker Compose: PostgreSQL + PostGIS + Redis</t>
  </si>
  <si>
    <t>Bộ hiệu chuẩn</t>
  </si>
  <si>
    <t>Dựng bộ hiệu chuẩn có kiểm soát</t>
  </si>
  <si>
    <t>docker compose up lên đủ dịch vụ</t>
  </si>
  <si>
    <t>6–8 bóng điều chỉnh được dòng, đặt ở độ cao và khoảng cách mô phỏng cột đèn thật, mức suy giảm đã biết chính xác</t>
  </si>
  <si>
    <t>W1–W3</t>
  </si>
  <si>
    <t>27/09/2026</t>
  </si>
  <si>
    <t>IOT-05</t>
  </si>
  <si>
    <t>Phát hiện on/off và tính runtime theo phiên đêm</t>
  </si>
  <si>
    <t>⚠ HẠNG MỤC QUAN TRỌNG NHẤT CỦA NHÁNH C. Đây là nguồn ground truth photometric DUY NHẤT còn lại. Đã nâng từ 4–6 lên 6–8 bóng và đẩy sớm lên W1. Hỏng task này là hỏng cả RQ1.</t>
  </si>
  <si>
    <t>Tính đúng số giờ sáng của một đêm, kể cả khi qua nửa đêm</t>
  </si>
  <si>
    <t>W5–W6</t>
  </si>
  <si>
    <t>05/10/2026</t>
  </si>
  <si>
    <t>18/10/2026</t>
  </si>
  <si>
    <t>BỎ pgvector. Giữ PostGIS, Redis</t>
  </si>
  <si>
    <t>FO-08</t>
  </si>
  <si>
    <t>Viết giao thức chụp có kiểm soát</t>
  </si>
  <si>
    <t>Phải dùng khái niệm 'phiên đêm', không dùng ngày lịch</t>
  </si>
  <si>
    <t>Tài liệu: bố trí bóng, khoảng cách, độ cao, vị trí camera, thông số khoá, quy trình lặp lại giữa các đêm</t>
  </si>
  <si>
    <t>W2–W3</t>
  </si>
  <si>
    <t>THAY giao thức khảo sát đêm trên đường. Vẫn là deliverable chính thức — mô tả cả giao thức khảo sát xe đã THIẾT KẾ nhưng chưa triển khai được, kèm lý do.</t>
  </si>
  <si>
    <t>IOT-06</t>
  </si>
  <si>
    <t>Store-and-forward khi mất sóng</t>
  </si>
  <si>
    <t>Mất sóng 24h vẫn không mất dữ liệu, có sóng thì đẩy hết lên</t>
  </si>
  <si>
    <t>W6–W7</t>
  </si>
  <si>
    <t>12/10/2026</t>
  </si>
  <si>
    <t>FO-09</t>
  </si>
  <si>
    <t>25/10/2026</t>
  </si>
  <si>
    <t>Đặc tả giao thức khảo sát xe cho triển khai tương lai</t>
  </si>
  <si>
    <t>BE-03</t>
  </si>
  <si>
    <t>Tài liệu thiết kế đầy đủ: tuyến, tốc độ, gá camera, an toàn ban đêm — ghi rõ CHƯA kiểm chứng thực địa</t>
  </si>
  <si>
    <t>EF Core + Npgsql + NetTopologySuite</t>
  </si>
  <si>
    <t>Map được Point VÀ LineString, sinh migration thành công</t>
  </si>
  <si>
    <t>Trung bình</t>
  </si>
  <si>
    <t>GIỮ LẠI VÌ HỘI ĐỒNG SẼ HỎI. Đây là đóng góp thiết kế, không phải kết quả thực nghiệm — phải phân biệt rõ trong báo cáo.</t>
  </si>
  <si>
    <t>Mở rộng: LineString cho tuyến đường và feeder. Tên bảng/cột snake_case toàn chữ thường, không quote.</t>
  </si>
  <si>
    <t>IOT-07</t>
  </si>
  <si>
    <t>Định dạng payload tối ưu cho giới hạn LPWAN</t>
  </si>
  <si>
    <t>FO-10</t>
  </si>
  <si>
    <t>Một bản ghi đêm nằm gọn trong giới hạn payload</t>
  </si>
  <si>
    <t>Dựng bảng kiểm kê cột tham chiếu cho tập ảnh công khai</t>
  </si>
  <si>
    <t>CSV: mã cột, toạ độ ước lượng, loại đèn suy đoán, tuyến — đủ trường để chạy pole association</t>
  </si>
  <si>
    <t>19/10/2026</t>
  </si>
  <si>
    <t>BE-04</t>
  </si>
  <si>
    <t>Middleware lỗi, response chuẩn, phân trang, versioning /api/v1</t>
  </si>
  <si>
    <t>Mọi API cùng định dạng, có correlation id; lỗi theo hình dạng {error:{code,message,details}}</t>
  </si>
  <si>
    <t>Toạ độ từ ảnh công khai kém chính xác hơn đo thực địa → sai số này phải được đo và báo cáo ở CV-06, không giấu.</t>
  </si>
  <si>
    <t>IOT-08</t>
  </si>
  <si>
    <t>Telemetry</t>
  </si>
  <si>
    <t>FO-11</t>
  </si>
  <si>
    <t>Gateway + máy chủ mạng + chuyển tiếp lên backend</t>
  </si>
  <si>
    <t>Định dạng lỗi và phân trang {page,page_size,total,items[]} theo API Contract v1.0</t>
  </si>
  <si>
    <t>Dữ liệu từ node đi hết chặng và tới được API</t>
  </si>
  <si>
    <t>Thu thập và chuẩn hoá bộ ảnh đêm công khai v1</t>
  </si>
  <si>
    <t>Bộ ảnh đã lọc, đã gắn toạ độ, đã ghi rõ nguồn và license, đủ để bắt đầu gán nhãn</t>
  </si>
  <si>
    <t>W7–W8</t>
  </si>
  <si>
    <t>01/11/2026</t>
  </si>
  <si>
    <t>THAY sweep khảo sát đêm #1. Mốc dữ liệu quan trọng nhất của nhánh C.</t>
  </si>
  <si>
    <t>BE-05</t>
  </si>
  <si>
    <t>IOT-09</t>
  </si>
  <si>
    <t>FO-12</t>
  </si>
  <si>
    <t>API ingest telemetry — idempotent theo (node_id, reading_time)</t>
  </si>
  <si>
    <t>Gửi lại cùng bản ghi không tạo bản trùng</t>
  </si>
  <si>
    <t>Serilog + Swagger + security scheme JWT</t>
  </si>
  <si>
    <t>Quy ước gán nhãn + hướng dẫn người gán</t>
  </si>
  <si>
    <t>Tài liệu định nghĩa normal/dim/out/unknown và các nguồn sáng nhiễu, có ảnh ví dụ từng lớp</t>
  </si>
  <si>
    <t>Swagger có nút Authorize, log có cấu trúc; OpenAPI spec công bố cho WP6 sinh DTO</t>
  </si>
  <si>
    <t>26/10/2026</t>
  </si>
  <si>
    <t>Store-and-forward chắc chắn sẽ gửi trùng — phải xử lý từ đầu</t>
  </si>
  <si>
    <t>'dim' trong ảnh công khai chỉ gán được theo cảm quan → phải đánh dấu RIÊNG, không trộn với 'dim' đo được trên bộ hiệu chuẩn. Hai loại nhãn này KHÔNG tương đương.</t>
  </si>
  <si>
    <t>WP6 (Android) phụ thuộc trực tiếp vào spec này ở FM-04</t>
  </si>
  <si>
    <t>FO-13</t>
  </si>
  <si>
    <t>IOT-10</t>
  </si>
  <si>
    <t>Gán nhãn dataset v1</t>
  </si>
  <si>
    <t>Đủ số khung hình mục tiêu đã gán nhãn, có kiểm tra chéo giữa 2 người trên 10% mẫu</t>
  </si>
  <si>
    <t>Entity IotNode, TelemetryReading + migration + index theo thời gian</t>
  </si>
  <si>
    <t>Truy vấn chuỗi thời gian của một node dưới 1 giây; node_status theo enum Contract v1.0</t>
  </si>
  <si>
    <t>W4–W7</t>
  </si>
  <si>
    <t>W8–W9</t>
  </si>
  <si>
    <t>08/11/2026</t>
  </si>
  <si>
    <t>TASK TỐN NHẤT VÀ DỄ BỊ ĐÁNH GIÁ THẤP NHẤT — chia đều cả nhóm</t>
  </si>
  <si>
    <t>Enum node_role/node_status theo API Contract v1.0 mục 1</t>
  </si>
  <si>
    <t>BE-06</t>
  </si>
  <si>
    <t>FO-14</t>
  </si>
  <si>
    <t>Identity</t>
  </si>
  <si>
    <t>Đo lux đối chứng trên bộ hiệu chuẩn — đợt 1</t>
  </si>
  <si>
    <t>Số đo lux tại từng mức suy giảm đã biết, cùng thời điểm với đợt chụp</t>
  </si>
  <si>
    <t>Entity AdministrativeUnit, AppUser, RefreshToken</t>
  </si>
  <si>
    <t>IOT-11</t>
  </si>
  <si>
    <t>Bảng tạo được, seed chạy được</t>
  </si>
  <si>
    <t>Phát hiện node ngừng báo cáo</t>
  </si>
  <si>
    <t>Quá ngưỡng không nhận tin là sinh Fault loại node_offline</t>
  </si>
  <si>
    <t>02/11/2026</t>
  </si>
  <si>
    <t>THAY đo lux dưới chân cột thực địa. Đây là ground truth cho RQ1. Nhập liệu qua FM-14, cần BE-42 xong trước W4.</t>
  </si>
  <si>
    <t>fault_type = node_offline theo Contract</t>
  </si>
  <si>
    <t>FO-15</t>
  </si>
  <si>
    <t>Chụp lặp bộ hiệu chuẩn qua nhiều đêm</t>
  </si>
  <si>
    <t>Chuỗi ảnh cùng bố trí, khác đêm — đo được độ ổn định của phép chuẩn hoá giữa các đêm</t>
  </si>
  <si>
    <t>COMPUTER VISION &amp; PHÂN TÍCH SỰ CỐ · WP4</t>
  </si>
  <si>
    <t>IOT-12</t>
  </si>
  <si>
    <t>Vỏ hộp chống nước và thiết kế lắp đặt (kiểm thử trong phòng)</t>
  </si>
  <si>
    <t>Vỏ hộp hoàn chỉnh, kiểm thử chống nước bằng phun nước mô phỏng; thiết kế gá lắp có bản vẽ</t>
  </si>
  <si>
    <t>THAY sweep #2. Đây là cách duy nhất còn lại để kiểm chứng tính lặp lại ở nhánh C.</t>
  </si>
  <si>
    <t>W9–W10</t>
  </si>
  <si>
    <t>15/11/2026</t>
  </si>
  <si>
    <t>FO-16</t>
  </si>
  <si>
    <t>NHÁNH C: không phơi ngoài trời dài ngày được. Kiểm thử thay thế trong phòng, ghi rõ mức độ kiểm chứng đạt được.</t>
  </si>
  <si>
    <t>Chụp có/không khoá phơi sáng trên cùng bố trí</t>
  </si>
  <si>
    <t>Cùng bố trí, cùng đêm, 2 lượt chụp với cấu hình khác nhau</t>
  </si>
  <si>
    <t>BE-07</t>
  </si>
  <si>
    <t>IOT-13</t>
  </si>
  <si>
    <t>BẢO TOÀN NGUYÊN VẸN Ở NHÁNH C — câu hỏi nghiên cứu về locked exposure vẫn trả lời được đầy đủ trên bộ hiệu chuẩn, thậm chí sạch hơn ngoài đường.</t>
  </si>
  <si>
    <t>Hiệu chuẩn cảm biến dòng đối chiếu đồng hồ đo</t>
  </si>
  <si>
    <t>API đăng ký / đăng nhập / refresh token</t>
  </si>
  <si>
    <t>Sai số đo dòng nằm trong ngưỡng đã công bố</t>
  </si>
  <si>
    <t>Lấy được JWT, refresh hoạt động</t>
  </si>
  <si>
    <t>W10–W11</t>
  </si>
  <si>
    <t>09/11/2026</t>
  </si>
  <si>
    <t>22/11/2026</t>
  </si>
  <si>
    <t>FO-17</t>
  </si>
  <si>
    <t>IoT</t>
  </si>
  <si>
    <t>Bench demo: node IoT chạy liên tục trong phòng</t>
  </si>
  <si>
    <t>Node đo dòng qua bóng của bộ hiệu chuẩn, gửi telemetry thật về server nhiều ngày liên tục</t>
  </si>
  <si>
    <t>Số liệu này phải đưa vào báo cáo</t>
  </si>
  <si>
    <t>FM-05 cần endpoint thật trước khi test tích hợp</t>
  </si>
  <si>
    <t>THAY lắp đặt ngoài trời. Vẫn là telemetry THẬT từ phần cứng thật — chỉ khác môi trường. Phân biệt rõ với dữ liệu mô phỏng FO-25 khi báo cáo.</t>
  </si>
  <si>
    <t>IOT-14</t>
  </si>
  <si>
    <t>Quy trình cập nhật firmware có kiểm soát</t>
  </si>
  <si>
    <t>Nạp lại được firmware ngoài hiện trường mà không tháo node</t>
  </si>
  <si>
    <t>FO-18</t>
  </si>
  <si>
    <t>Chụp bộ hiệu chuẩn định kỳ 2 tuần/lần</t>
  </si>
  <si>
    <t>W11–W12</t>
  </si>
  <si>
    <t>Chuỗi ảnh đều đặn nuôi baseline theo từng bóng</t>
  </si>
  <si>
    <t>16/11/2026</t>
  </si>
  <si>
    <t>29/11/2026</t>
  </si>
  <si>
    <t>W7–W18</t>
  </si>
  <si>
    <t>10/01/2027</t>
  </si>
  <si>
    <t>BE-08</t>
  </si>
  <si>
    <t>Phân quyền theo 4 vai trò + theo địa bàn</t>
  </si>
  <si>
    <t>Kỹ sư bảo trì chỉ thấy tài sản thuộc địa bàn mình</t>
  </si>
  <si>
    <t>THAY sweep định kỳ. Đẩy sớm từ W10 lên W7 vì cần nhiều điểm dữ liệu hơn để baseline có ý nghĩa.</t>
  </si>
  <si>
    <t>IOT-15</t>
  </si>
  <si>
    <t>Chịu lỗi: mất điện, tràn buffer, lệch RTC</t>
  </si>
  <si>
    <t>Node tự phục hồi sau các tình huống trên, có log</t>
  </si>
  <si>
    <t>FO-19</t>
  </si>
  <si>
    <t>Đo lux đối chứng — đợt 2</t>
  </si>
  <si>
    <t>W12–W13</t>
  </si>
  <si>
    <t>4 vai trò: Cơ quan quản lý, Kỹ sư bảo trì, Tổ khảo sát/sửa chữa, Quản trị. KHÔNG còn vai trò Người dân</t>
  </si>
  <si>
    <t>Số đo lux đợt 2 trên cùng bố trí, kiểm chứng baseline theo thời gian</t>
  </si>
  <si>
    <t>23/11/2026</t>
  </si>
  <si>
    <t>06/12/2026</t>
  </si>
  <si>
    <t>CV-01</t>
  </si>
  <si>
    <t>30/11/2026</t>
  </si>
  <si>
    <t>Xây pipeline trên bộ ảnh đêm công khai</t>
  </si>
  <si>
    <t>Pipeline chạy được end-to-end trên ảnh công khai đã chuẩn hoá ở FO-11</t>
  </si>
  <si>
    <t>Trên bộ hiệu chuẩn, không phải thực địa</t>
  </si>
  <si>
    <t>BE-09</t>
  </si>
  <si>
    <t>GIS Tài sản</t>
  </si>
  <si>
    <t>FO-20</t>
  </si>
  <si>
    <t>Entity Pole, Fixture, RoadSegment, Feeder + migration + index GIST</t>
  </si>
  <si>
    <t>Lưu được cột geometry(Point,4326) và tuyến geometry(LineString,4326), EXPLAIN xác nhận dùng GIST index</t>
  </si>
  <si>
    <t>Tách tập held-out: ảnh công khai + bố trí hiệu chuẩn chưa từng dùng</t>
  </si>
  <si>
    <t>Hai tập kiểm tra riêng biệt, chưa từng xuất hiện trong bất kỳ vòng train nào</t>
  </si>
  <si>
    <t>W14–W15</t>
  </si>
  <si>
    <t>07/12/2026</t>
  </si>
  <si>
    <t>IOT-16</t>
  </si>
  <si>
    <t>20/12/2026</t>
  </si>
  <si>
    <t>Vận hành</t>
  </si>
  <si>
    <t>Theo dõi độ ổn định node trên bench + kiểm chứng pipeline bằng dữ liệu mô phỏng</t>
  </si>
  <si>
    <t>Hai số liệu TÁCH RIÊNG: (1) tỉ lệ bản ghi thật nhận được từ node bench, (2) kết quả pipeline chạy trên dữ liệu mô phỏng FO-25</t>
  </si>
  <si>
    <t>Trường và enum theo API Contract v1.0 mục 1. Pole và Fixture TÁCH RIÊNG.</t>
  </si>
  <si>
    <t>NHÁNH C: đây là nguồn dữ liệu chính cho phần PHÁT HIỆN (CV-03, CV-04), không phải cho phần chuẩn hoá/phân loại dim.</t>
  </si>
  <si>
    <t>W11–W19</t>
  </si>
  <si>
    <t>17/01/2027</t>
  </si>
  <si>
    <t>THAY sweep tuyến thứ 2. Tách held-out NGAY từ đầu, đừng để cuối kỳ mới tách — rất dễ rò rỉ dữ liệu.</t>
  </si>
  <si>
    <t>TUYỆT ĐỐI KHÔNG trộn hai nguồn số liệu này khi báo cáo. Telemetry bench là dữ liệu thật; runtime suy giảm là mô phỏng.</t>
  </si>
  <si>
    <t>BE-10</t>
  </si>
  <si>
    <t>Quy ước SRID: lưu và trả EPSG:4326, tính khoảng cách trên EPSG:3405</t>
  </si>
  <si>
    <t>Hàm tính khoảng cách trả kết quả mét đúng, có unit test đối chiếu</t>
  </si>
  <si>
    <t>CV-02</t>
  </si>
  <si>
    <t>FO-21</t>
  </si>
  <si>
    <t>Đánh giá</t>
  </si>
  <si>
    <t>Pipeline tiền xử lý: trích khung hình, khớp toạ độ, đọc metadata nếu có</t>
  </si>
  <si>
    <t>IOT-17</t>
  </si>
  <si>
    <t>Đối chứng hệ thống với ground truth trên tập held-out</t>
  </si>
  <si>
    <t>Mỗi khung hình có toạ độ; đánh dấu rõ khung nào CÓ metadata phơi sáng (bộ hiệu chuẩn) và khung nào KHÔNG (ảnh công khai)</t>
  </si>
  <si>
    <t>Mô hình chi phí trên mỗi đèn được giám sát (ước tính có căn cứ)</t>
  </si>
  <si>
    <t>Bảng so sánh: hệ thống nói gì / lux meter nói gì (bộ hiệu chuẩn) và / người gán nhãn nói gì (ảnh công khai)</t>
  </si>
  <si>
    <t>Con số chi phí/đèn dựa trên BOM thật đã mua + giả định số đèn phủ trên mỗi node, có phân tích độ nhạy theo mật độ cột</t>
  </si>
  <si>
    <t>W18–W19</t>
  </si>
  <si>
    <t>CHỐT: EPSG:3405 chỉ dùng nội bộ, KHÔNG BAO GIỜ trả ra API. FE không reproject.</t>
  </si>
  <si>
    <t>04/01/2027</t>
  </si>
  <si>
    <t>W19–W20</t>
  </si>
  <si>
    <t>11/01/2027</t>
  </si>
  <si>
    <t>24/01/2027</t>
  </si>
  <si>
    <t>CV-18</t>
  </si>
  <si>
    <t>Cờ has_exposure_metadata phải gắn từ bước này — toàn bộ nhánh chuẩn hoá CV-07/08 chỉ chạy trên khung có metadata.</t>
  </si>
  <si>
    <t>THAY thử nghiệm hiện trường. Đây là bằng chứng chính của báo cáo. Hai loại ground truth phải báo cáo TÁCH RIÊNG.</t>
  </si>
  <si>
    <t>Chỉ số BẮT BUỘC (đóng góp cốt lõi của kiến trúc sparse IoT). NHÁNH C: là ƯỚC TÍNH từ BOM thật, không phải số đo triển khai. Phải nêu rõ giả định và dải giá trị.</t>
  </si>
  <si>
    <t>BE-11</t>
  </si>
  <si>
    <t>Lưu trữ ảnh (MinIO): tách SurveyFrame và RepairEvidence</t>
  </si>
  <si>
    <t>Hai luồng ảnh riêng, sinh thumbnail, chặn file sai định dạng</t>
  </si>
  <si>
    <t>CV-03</t>
  </si>
  <si>
    <t>Phát hiện</t>
  </si>
  <si>
    <t>IOT-18</t>
  </si>
  <si>
    <t>Baseline detector: phát hiện đèn sáng / không sáng</t>
  </si>
  <si>
    <t>FO-22</t>
  </si>
  <si>
    <t>Precision và recall báo cáo riêng cho lớp out, đối chiếu kiểm tra thủ công</t>
  </si>
  <si>
    <t>Thu thập phản hồi sử dụng từ người dùng đại diện</t>
  </si>
  <si>
    <t>Ảnh khảo sát là dữ liệu chính, không phải file đính kèm — cần tính dung lượng</t>
  </si>
  <si>
    <t>W4–W6</t>
  </si>
  <si>
    <t>Biên bản phản hồi có cấu trúc về dashboard và app hiện trường, tối thiểu 3 người ngoài nhóm</t>
  </si>
  <si>
    <t>Đây chỉ là mốc so sánh, KHÔNG phải kết quả cuối</t>
  </si>
  <si>
    <t>BE-12</t>
  </si>
  <si>
    <t>FW-32</t>
  </si>
  <si>
    <t>API CRUD tài sản + import kiểm kê từ CSV</t>
  </si>
  <si>
    <t>Import file FO-10, báo lỗi theo từng dòng</t>
  </si>
  <si>
    <t>Người dùng đại diện: sinh viên/giảng viên ngành kỹ thuật hạ tầng, hoặc nhân viên kỹ thuật điện. Ghi rõ hạn chế này trong báo cáo.</t>
  </si>
  <si>
    <t>CV-04</t>
  </si>
  <si>
    <t>Hoàn thiện</t>
  </si>
  <si>
    <t>Tài liệu phần cứng: sơ đồ mạch, BOM, hướng dẫn lắp</t>
  </si>
  <si>
    <t>Loại nguồn sáng gây nhiễu</t>
  </si>
  <si>
    <t>Người khác lắp lại được node từ tài liệu</t>
  </si>
  <si>
    <t>Đèn nhà, biển hiệu, đèn xe ngược chiều không bị nhận nhầm thành đèn đường</t>
  </si>
  <si>
    <t>W20–W21</t>
  </si>
  <si>
    <t>18/01/2027</t>
  </si>
  <si>
    <t>31/01/2027</t>
  </si>
  <si>
    <t>FO-23</t>
  </si>
  <si>
    <t>Tổng hợp số liệu và viết báo cáo đánh giá</t>
  </si>
  <si>
    <t>Báo cáo có precision/recall tách riêng out và dim, agreement với lux, chi phí/đèn ước tính</t>
  </si>
  <si>
    <t>BE-13</t>
  </si>
  <si>
    <t>API topology: gán cột vào tuyến và vào feeder</t>
  </si>
  <si>
    <t>Truy vấn được 'tất cả cột trên feeder X' phục vụ clustering</t>
  </si>
  <si>
    <t>CV-05</t>
  </si>
  <si>
    <t>Pole association: khớp detection với đúng cột</t>
  </si>
  <si>
    <t>Dùng GPS + heading + hình học cột từ GIS</t>
  </si>
  <si>
    <t>Đầu vào bắt buộc cho CV-15</t>
  </si>
  <si>
    <t>Gán nhầm cột là gửi tổ sửa chữa đến sai chỗ</t>
  </si>
  <si>
    <t>FO-24</t>
  </si>
  <si>
    <t>Cập nhật proposal theo nhánh C</t>
  </si>
  <si>
    <t>BE-14</t>
  </si>
  <si>
    <t>Proposal v2.1: phạm vi RQ điều chỉnh, phần Threats to Validity viết lại, không còn giả định thử nghiệm hiện trường</t>
  </si>
  <si>
    <t>API bản đồ theo bbox: GET /poles, /segments, /iot-nodes</t>
  </si>
  <si>
    <t>Trả FeatureCollection GeoJSON, properties phẳng; bbox BẮT BUỘC; &gt;2000 cột trả 413 BBOX_TOO_LARGE; dưới 500ms</t>
  </si>
  <si>
    <t>CV-06</t>
  </si>
  <si>
    <t>Đo độ chính xác pole association</t>
  </si>
  <si>
    <t>Tỉ lệ gán đúng cột, báo cáo kèm khoảng cách trung bình giữa các cột</t>
  </si>
  <si>
    <t>BẮT BUỘC và GẤP. Phải trung thực: đây là nghiên cứu trên dữ liệu công khai và bộ hiệu chuẩn có kiểm soát, KHÔNG phải field study. Giấu điều này sẽ hỏng ở buổi bảo vệ.</t>
  </si>
  <si>
    <t>Đặc tả đầy đủ ở API Contract v1.0 mục 2.1–2.3. FE đã code sẵn theo mock — sai schema là FE phải sửa lại.</t>
  </si>
  <si>
    <t>Chỉ tiêu phi chức năng trong proposal</t>
  </si>
  <si>
    <t>BE-15</t>
  </si>
  <si>
    <t>FO-25</t>
  </si>
  <si>
    <t>Khảo sát</t>
  </si>
  <si>
    <t>CV-07</t>
  </si>
  <si>
    <t>Entity SurveySweep, SurveyFrame + upload hàng loạt</t>
  </si>
  <si>
    <t>Sinh bộ dữ liệu IoT mô phỏng (runtime suy giảm pin)</t>
  </si>
  <si>
    <t>Chuẩn hoá</t>
  </si>
  <si>
    <t>Nộp được một sweep gồm nhiều trăm khung hình kèm metadata</t>
  </si>
  <si>
    <t>Chuẩn hoá phơi sáng: mô hình ISO/shutter/aperture → cường độ</t>
  </si>
  <si>
    <t>Chuỗi thời gian runtime nhiều node, có node suy giảm theo mô hình pin, tham số mô phỏng công khai và tái lập được</t>
  </si>
  <si>
    <t>Hai ảnh cùng bố trí khác thông số cho ra giá trị chuẩn hoá gần nhau, kiểm trên bộ hiệu chuẩn</t>
  </si>
  <si>
    <t>Lõi kỹ thuật của cả đề tài. ĐẨY SỚM (W8→W6) vì dữ liệu hiệu chuẩn đã có từ W5. CHỈ chạy trên ảnh bộ hiệu chuẩn — ảnh công khai không có metadata.</t>
  </si>
  <si>
    <t>NÂNG ƯU TIÊN + ĐẨY SỚM (W6–W8 → W4–W6): đây là nguồn dữ liệu runtime chính của nhánh C. Mô hình suy giảm phải dựa trên tài liệu về capacity fade, không tự bịa đường cong.</t>
  </si>
  <si>
    <t>BE-16</t>
  </si>
  <si>
    <t>Validate metadata phơi sáng — từ chối frame thiếu thông số</t>
  </si>
  <si>
    <t>CV-08</t>
  </si>
  <si>
    <t>FO-27</t>
  </si>
  <si>
    <t>Frame không đủ ISO/shutter/aperture/GPS/heading bị từ chối kèm lý do rõ</t>
  </si>
  <si>
    <t>Chuẩn hoá khoảng cách (suy giảm bình phương nghịch đảo)</t>
  </si>
  <si>
    <t>Cùng một bóng chụp ở nhiều khoảng cách cho giá trị chuẩn hoá gần nhau</t>
  </si>
  <si>
    <t>Đối chiếu dữ liệu mô phỏng với số liệu công bố</t>
  </si>
  <si>
    <t>Bảng so sánh tham số mô phỏng với số liệu capacity fade trong tài liệu tham khảo, có trích nguồn</t>
  </si>
  <si>
    <t>BẮT BUỘC — không sửa được sau khi chụp, phải chặn ngay lúc nhận</t>
  </si>
  <si>
    <t>NHÁNH C có lợi thế: khoảng cách trên bộ hiệu chuẩn ĐO ĐƯỢC chính xác, không phải ước lượng từ GPS như ngoài đường.</t>
  </si>
  <si>
    <t>BE-17</t>
  </si>
  <si>
    <t>MỚI — bắt buộc ở nhánh C. Dữ liệu mô phỏng không có giá trị khoa học nếu không neo được vào số liệu thực tế đã công bố. Hội đồng sẽ hỏi đúng chỗ này.</t>
  </si>
  <si>
    <t>CV-09</t>
  </si>
  <si>
    <t>API trạng thái xử lý sweep + độ phủ tuyến</t>
  </si>
  <si>
    <t>Kiểm chứng chuẩn hoá trên bộ hiệu chuẩn</t>
  </si>
  <si>
    <t>Biết được sweep đã xử lý đến đâu, đoạn nào chưa có ảnh</t>
  </si>
  <si>
    <t>Giá trị chuẩn hoá bám sát mức suy giảm đã biết; báo cáo sai số theo từng mức suy giảm</t>
  </si>
  <si>
    <t>FO-26</t>
  </si>
  <si>
    <t>Bộ dữ liệu GeoJSON mô phỏng cho FE làm việc song song</t>
  </si>
  <si>
    <t>103 cột + 3 tuyến + cụm sự cố đoạn + node IoT, đúng schema API Contract v1.0</t>
  </si>
  <si>
    <t>⚠ KIỂM CHỨNG CỐT LÕI CỦA NHÁNH C. Mức suy giảm biết trước chính xác → kiểm chứng này MẠNH HƠN đối chiếu lux ngoài đường. Đây là điểm mạnh cần nhấn trong báo cáo.</t>
  </si>
  <si>
    <t>BE-18</t>
  </si>
  <si>
    <t>Sự cố</t>
  </si>
  <si>
    <t>CV-10</t>
  </si>
  <si>
    <t>Entity Fault, FaultType, FaultHistory + ghi vết kiểm toán</t>
  </si>
  <si>
    <t>Phân loại</t>
  </si>
  <si>
    <t>Mọi phát hiện tự động và mọi quyết định của kỹ sư đều có bản ghi</t>
  </si>
  <si>
    <t>LuminanceBaseline theo từng cột + cập nhật tăng dần</t>
  </si>
  <si>
    <t>Mỗi cột có chuỗi lịch sử riêng; API trả kèm baseline_value, dim_threshold_ratio, out_threshold_ratio</t>
  </si>
  <si>
    <t>ĐÃ CÓ — bàn giao kèm API Contract v1.0. FE không phải chờ BE hay chờ dữ liệu.</t>
  </si>
  <si>
    <t>Đang làm</t>
  </si>
  <si>
    <t>KHÔNG so sánh giữa các cột khác nhau. Cấu trúc trả về theo API Contract v1.0 mục 2.2.</t>
  </si>
  <si>
    <t>Enum fault_type/fault_status/severity/source_channel theo Contract v1.0. Fault do ENGINE sinh (cv/iot) hoặc do field_report (manual).</t>
  </si>
  <si>
    <t>CV-11</t>
  </si>
  <si>
    <t>Phân loại normal/dim/out từ độ lệch so với baseline riêng</t>
  </si>
  <si>
    <t>Phân loại 4 giá trị normal/dim/out/unknown; báo cáo chỉ số riêng từng lớp và TÁCH RIÊNG hai nguồn dữ liệu</t>
  </si>
  <si>
    <t>BE-19</t>
  </si>
  <si>
    <t>W10–W12</t>
  </si>
  <si>
    <t>API duyệt sự cố: PATCH /faults/{id} xác nhận / phân loại lại / bác bỏ</t>
  </si>
  <si>
    <t>Chuyển trạng thái sai luồng trả 409 để FE disable nút trước, không để user bấm rồi lỗi</t>
  </si>
  <si>
    <t>Đóng góp nghiên cứu chính. NHÁNH C: chỉ số trên bộ hiệu chuẩn (có ground truth thật) và trên ảnh công khai (nhãn cảm quan) phải báo cáo riêng, không gộp.</t>
  </si>
  <si>
    <t>Luồng hợp lệ ghi rõ ở Contract v1.0 mục 2.5</t>
  </si>
  <si>
    <t>CV-12</t>
  </si>
  <si>
    <t>Đối chiếu phân loại 'dim' với số đo lux trên bộ hiệu chuẩn</t>
  </si>
  <si>
    <t>Thống kê mức độ đồng thuận giữa hệ thống và lux meter, kèm khoảng tin cậy</t>
  </si>
  <si>
    <t>BE-20</t>
  </si>
  <si>
    <t>API lịch sử tình trạng của một cột (GET /poles/{id})</t>
  </si>
  <si>
    <t>Trả GỘP trong 1 request: fixture, current_status, iot_node, luminance_baseline, luminance_history, runtime_history, open_faults, recent_frames</t>
  </si>
  <si>
    <t>BE-42</t>
  </si>
  <si>
    <t>TRẢ LỜI RQ1. NHÁNH C: toàn bộ trên bộ hiệu chuẩn. Phạm vi hẹp hơn thực địa nhưng ground truth sạch hơn — nêu cả hai mặt trong bàn luận.</t>
  </si>
  <si>
    <t>CHỐT: không bắt FE gọi 4 lần. luminance_history phải có baseline_ratio và classified_as sẵn.</t>
  </si>
  <si>
    <t>CV-13</t>
  </si>
  <si>
    <t>So sánh hiệu năng trên ảnh khoá phơi sáng vs tự động</t>
  </si>
  <si>
    <t>Định lượng được khoá phơi sáng đóng góp bao nhiêu</t>
  </si>
  <si>
    <t>BE-21</t>
  </si>
  <si>
    <t>Quy trình</t>
  </si>
  <si>
    <t>Entity WorkOrder, ExternalUnit + tính hạn SLA theo loại sự cố</t>
  </si>
  <si>
    <t>Xác nhận sự cố là sinh ngay work order kèm due_at</t>
  </si>
  <si>
    <t>BẢO TOÀN NGUYÊN VẸN Ở NHÁNH C — trả lời được đầy đủ trên bộ hiệu chuẩn, thậm chí sạch hơn ngoài đường vì kiểm soát được biến.</t>
  </si>
  <si>
    <t>CV-14</t>
  </si>
  <si>
    <t>Phân tích</t>
  </si>
  <si>
    <t>Thuật toán phát hiện suy giảm runtime + kiểm chứng trên dữ liệu mô phỏng</t>
  </si>
  <si>
    <t>Thuật toán phát hiện được xu hướng suy giảm; báo cáo lead time phát hiện được ở từng mức nhiễu mô phỏng</t>
  </si>
  <si>
    <t>BE-22</t>
  </si>
  <si>
    <t>W14–W16</t>
  </si>
  <si>
    <t>Máy trạng thái + chặn chuyển trạng thái sai luồng</t>
  </si>
  <si>
    <t>27/12/2026</t>
  </si>
  <si>
    <t>Không thể chuyển thẳng từ Mới sang Đã đóng</t>
  </si>
  <si>
    <t>⚠ HẠ PHẠM VI Ở NHÁNH C: RQ2 chuyển từ 'runtime có suy giảm dự đoán được không' (câu hỏi thực nghiệm) sang 'thuật toán phát hiện được suy giảm ở mức nhiễu nào' (câu hỏi thuật toán). Phải viết lại RQ2 trong proposal ở FO-24.</t>
  </si>
  <si>
    <t>CV-15</t>
  </si>
  <si>
    <t>Spatial clustering suy luận nguyên nhân theo tuyến/feeder</t>
  </si>
  <si>
    <t>BE-23</t>
  </si>
  <si>
    <t>Nhiều cột tối liền kề trên cùng feeder được gom thành 1 sự cố đoạn, sinh cluster_id và fault_type=segment_outage</t>
  </si>
  <si>
    <t>API gán việc cho tổ sửa chữa / đơn vị bên ngoài</t>
  </si>
  <si>
    <t>Gán và gỡ gán được, ghi lịch sử</t>
  </si>
  <si>
    <t>W16–W17</t>
  </si>
  <si>
    <t>21/12/2026</t>
  </si>
  <si>
    <t>03/01/2027</t>
  </si>
  <si>
    <t>Output khớp Contract: cluster_id + segment.has_active_segment_fault để FE highlight cả tuyến</t>
  </si>
  <si>
    <t>CV-16</t>
  </si>
  <si>
    <t>BE-24</t>
  </si>
  <si>
    <t>Chấm điểm ưu tiên đa tiêu chí</t>
  </si>
  <si>
    <t>API cập nhật tiến độ, nghiệm thu, đóng việc kèm ảnh before/after</t>
  </si>
  <si>
    <t>Điểm ưu tiên kết hợp mức nghiêm trọng, tầm quan trọng tuyến, gần trường/chợ/cầu (near_sensitive_poi)</t>
  </si>
  <si>
    <t>POST /work-orders/{id}/evidence multipart: file, kind=before|after, captured_at, lat, lng</t>
  </si>
  <si>
    <t>28/12/2026</t>
  </si>
  <si>
    <t>THAY ĐỔI v2.0 — không còn đối tác để thống nhất trọng số. Trọng số do nhóm tự định nghĩa, CĂN CỨ tiêu chuẩn chiếu sáng đường bộ VN, tài liệu hoá rõ trong proposal và cho phép cấu hình ở BE-33.</t>
  </si>
  <si>
    <t>FM-18 cần endpoint thật trước khi test tích hợp</t>
  </si>
  <si>
    <t>CV-17</t>
  </si>
  <si>
    <t>Tích hợp</t>
  </si>
  <si>
    <t>Đóng gói suy luận thành job xử lý sau mỗi sweep</t>
  </si>
  <si>
    <t>BE-25</t>
  </si>
  <si>
    <t>Nộp sweep xong, trong vài giờ có kết quả trên bản đồ</t>
  </si>
  <si>
    <t>API việc trong ngày của tổ sửa chữa</t>
  </si>
  <si>
    <t>Mở app thấy đúng việc được gán, gom theo địa lý</t>
  </si>
  <si>
    <t>W17–W18</t>
  </si>
  <si>
    <t>Chỉ tiêu phi chức năng: xử lý trong vài giờ</t>
  </si>
  <si>
    <t>Đánh giá trên tập held-out (ảnh công khai + bố trí hiệu chuẩn)</t>
  </si>
  <si>
    <t>Precision/recall/F1 TÁCH RIÊNG theo lớp (out/dim) VÀ theo nguồn dữ liệu (hiệu chuẩn / ảnh công khai)</t>
  </si>
  <si>
    <t>W17–W19</t>
  </si>
  <si>
    <t>BE-26</t>
  </si>
  <si>
    <t>Hangfire: cảnh báo quá hạn + phát hiện node ngừng báo cáo</t>
  </si>
  <si>
    <t>Job chạy đúng giờ, không gửi trùng</t>
  </si>
  <si>
    <t>Tuyệt đối không báo cáo chỉ số gộp — không gộp theo lớp, cũng không gộp theo nguồn dữ liệu.</t>
  </si>
  <si>
    <t>Thêm nhánh giám sát node IoT</t>
  </si>
  <si>
    <t>CV-19</t>
  </si>
  <si>
    <t>Quản lý phiên bản model + khả năng tái lập</t>
  </si>
  <si>
    <t>Chạy lại được đúng kết quả từ cùng dữ liệu và cùng phiên bản</t>
  </si>
  <si>
    <t>BE-27</t>
  </si>
  <si>
    <t>Module Notification: thông báo trong ứng dụng</t>
  </si>
  <si>
    <t>Đổi trạng thái là tổ sửa chữa nhận được thông báo</t>
  </si>
  <si>
    <t>Chốt tên bảng/entity cùng FE2-Ngọc trước W16 (FM-21 phụ thuộc)</t>
  </si>
  <si>
    <t>BE-28</t>
  </si>
  <si>
    <t>Dashboard</t>
  </si>
  <si>
    <t>API thống kê: tỉ lệ đèn theo tình trạng, tỉ lệ khắc phục đúng hạn</t>
  </si>
  <si>
    <t>BE-34</t>
  </si>
  <si>
    <t>Số liệu khớp khi đối chiếu thủ công</t>
  </si>
  <si>
    <t>Trạng thái unknown phải đếm RIÊNG, không gộp vào out</t>
  </si>
  <si>
    <t>CV-20</t>
  </si>
  <si>
    <t>Viết phần kết quả và phần Threats to Validity</t>
  </si>
  <si>
    <t>Đủ bảng số liệu, biểu đồ; phần giới hạn nêu rõ: không có thử nghiệm thực địa, RQ2 dựa trên mô phỏng, ground truth chỉ từ bộ hiệu chuẩn</t>
  </si>
  <si>
    <t>BE-29</t>
  </si>
  <si>
    <t>API bản đồ nhiệt điểm tối + phân tích vùng chưa phủ sáng</t>
  </si>
  <si>
    <t>Trả dữ liệu mật độ và danh sách nút giao/cầu chưa có đèn</t>
  </si>
  <si>
    <t>Viết phần giới hạn CHỦ ĐỘNG và đầy đủ. Hội đồng phát hiện ra giới hạn mà báo cáo không nêu thì nặng hơn nhiều so với tự nêu trước.</t>
  </si>
  <si>
    <t>W13–W14</t>
  </si>
  <si>
    <t>13/12/2026</t>
  </si>
  <si>
    <t>CV-21</t>
  </si>
  <si>
    <t>Phân tích độ nhạy: pipeline chịu được mức nhiễu/thiếu metadata đến đâu</t>
  </si>
  <si>
    <t>Bảng: chất lượng phân loại suy giảm thế nào khi giảm độ phân giải, thêm nhiễu, mất metadata phơi sáng</t>
  </si>
  <si>
    <t>BE-30</t>
  </si>
  <si>
    <t>API so sánh tỉ lệ hỏng theo địa bàn / loại đèn / nhà cung cấp / năm lắp</t>
  </si>
  <si>
    <t>Lọc được theo nhiều chiều</t>
  </si>
  <si>
    <t>ĐỔI MỤC ĐÍCH Ở NHÁNH C: đây là cách mạnh nhất để suy luận về khả năng áp dụng thực địa khi không có dữ liệu thực địa. Biến điểm yếu thành đóng góp nghiên cứu.</t>
  </si>
  <si>
    <t>BE-31</t>
  </si>
  <si>
    <t>API theo dõi warranty sắp hết hạn</t>
  </si>
  <si>
    <t>Danh sách đèn sắp hết bảo hành, xuất được báo cáo</t>
  </si>
  <si>
    <t>BE-32</t>
  </si>
  <si>
    <t>Tối ưu truy vấn thống kê + thêm index</t>
  </si>
  <si>
    <t>Dashboard tải dưới 2 giây với dữ liệu thật</t>
  </si>
  <si>
    <t>14/12/2026</t>
  </si>
  <si>
    <t>BE-33</t>
  </si>
  <si>
    <t>API quản trị danh mục: loại đèn, loại sự cố, ngưỡng, trọng số ưu tiên</t>
  </si>
  <si>
    <t>Sửa trọng số chấm điểm và ngưỡng dim_threshold_ratio không cần deploy lại</t>
  </si>
  <si>
    <t>W15–W16</t>
  </si>
  <si>
    <t>Ngưỡng mặc định theo Contract: dim 0.80, out 0.15</t>
  </si>
  <si>
    <t>API quản trị node IoT, phiên bản firmware, phiên bản model AI</t>
  </si>
  <si>
    <t>Truy được kết quả nào do model phiên bản nào sinh ra</t>
  </si>
  <si>
    <t>Bắt buộc cho khả năng tái lập kết quả nghiên cứu</t>
  </si>
  <si>
    <t>BE-35</t>
  </si>
  <si>
    <t>Giám sát job xử lý và dung lượng lưu trữ ảnh</t>
  </si>
  <si>
    <t>Biết được job nào lỗi, còn bao nhiêu dung lượng</t>
  </si>
  <si>
    <t>BE-36</t>
  </si>
  <si>
    <t>Test tích hợp với PostGIS thật (Testcontainers)</t>
  </si>
  <si>
    <t>Test chạy xanh, phủ các truy vấn không gian và truy vấn bbox</t>
  </si>
  <si>
    <t>BE-37</t>
  </si>
  <si>
    <t>Sửa lỗi tích hợp khi ghép với frontend và engine CV</t>
  </si>
  <si>
    <t>Không còn lỗi chặn luồng chính</t>
  </si>
  <si>
    <t>W18–W20</t>
  </si>
  <si>
    <t>BE-38</t>
  </si>
  <si>
    <t>Tài liệu API, README, hướng dẫn cài đặt</t>
  </si>
  <si>
    <t>Người mới clone về chạy được trong 15 phút</t>
  </si>
  <si>
    <t>BE-39</t>
  </si>
  <si>
    <t>Dữ liệu mẫu và kịch bản demo</t>
  </si>
  <si>
    <t>Demo chạy trơn không lỗi</t>
  </si>
  <si>
    <t>Dùng lại bộ mock GeoJSON ở FO-26 làm seed để demo khớp với những gì FE đã dựng</t>
  </si>
  <si>
    <t>BE-40</t>
  </si>
  <si>
    <t>API danh sách sự cố GET /faults (phân trang, KHÔNG phải GeoJSON)</t>
  </si>
  <si>
    <t>Lọc bbox/status/severity/fault_type/source_channel/cluster_id, sắp mặc định -priority_score, mỗi item có location{lat,lng}</t>
  </si>
  <si>
    <t>MỚI v2.0 — Contract mục 2.4. Trước đây không có task riêng cho endpoint này.</t>
  </si>
  <si>
    <t>BE-41</t>
  </si>
  <si>
    <t>Endpoint POST /faults nguồn field_report cho mobile</t>
  </si>
  <si>
    <t>Tổ khảo sát báo sự cố phát sinh tại chỗ, không bắt buộc gắn Pole có sẵn</t>
  </si>
  <si>
    <t>MỚI v2.0 — GIẢI QUYẾT cảnh báo liên WP ở FM-19: sheet Backend trước đây thiếu hẳn task này.</t>
  </si>
  <si>
    <t>Entity LuxReading + API nhập số đo lux từ hiện trường</t>
  </si>
  <si>
    <t>Lưu được số đo lux kèm pole_id, thời điểm đo, người đo; truy vấn theo cột phục vụ CV-12</t>
  </si>
  <si>
    <t>MỚI v2.0 — GIẢI QUYẾT cảnh báo ở FM-14: entity lux_reading trước đây chưa có tên chính thức. ĐẨY LÊN W4 để kịp FO-14 ở W5.</t>
  </si>
  <si>
    <t>BE-43</t>
  </si>
  <si>
    <t>API đồng bộ offline: GET /sync/bundle + POST /sync/push</t>
  </si>
  <si>
    <t>Gói dữ liệu theo segment cho mobile cache; khử trùng lặp theo client_op_id; trả conflicts[] khi xung đột</t>
  </si>
  <si>
    <t>MỚI v2.0 — Contract mục 3. FM-20 (offline đầy đủ) phụ thuộc trực tiếp; trước đây không có task backend tương ứng.</t>
  </si>
  <si>
    <t>FRONTEND MÁY TÍNH — Quản lý · Kỹ sư bảo trì · Quản trị · WP5 (FE2 – Ngọc)</t>
  </si>
  <si>
    <t>FW-00</t>
  </si>
  <si>
    <t>Nền tảng chung</t>
  </si>
  <si>
    <t>Buổi review API Contract v1.0 giữa BE và FE trước khi code sâu</t>
  </si>
  <si>
    <t>Cả WP2/WP5/WP6 xác nhận từng enum và từng endpoint; mọi thắc mắc ghi thành issue trước khi ai code</t>
  </si>
  <si>
    <t>MỚI v2.0 — contract đã chốt 23/08/2026. Một buổi 90 phút ở đây rẻ hơn 2 tuần sửa tích hợp ở W18.</t>
  </si>
  <si>
    <t>FW-01</t>
  </si>
  <si>
    <t>Web SPA: Khởi tạo React + Vite + TypeScript + TailwindCSS</t>
  </si>
  <si>
    <t>Project chạy dev mượt mà, cấu hình lint/format/paths chuẩn</t>
  </si>
  <si>
    <t>Khung Web SPA thay thế Electron Desktop</t>
  </si>
  <si>
    <t>FW-02</t>
  </si>
  <si>
    <t>Lớp gọi API Axios + Sinh TypeScript Types từ OpenAPI backend</t>
  </si>
  <si>
    <t>Không gõ type thủ công, đồng bộ 100% schema với Backend</t>
  </si>
  <si>
    <t>Trong lúc chờ BE-05, gõ type tay theo API Contract v1.0 rồi thay bằng type sinh tự động sau</t>
  </si>
  <si>
    <t>FW-03</t>
  </si>
  <si>
    <t>UI Design System &amp; Bộ Tokens dùng chung</t>
  </si>
  <si>
    <t>Bộ component UI dùng chung (Button, Table, Modal, Badge, Tag...)</t>
  </si>
  <si>
    <t>FW-04</t>
  </si>
  <si>
    <t>Thiết kế Wireframe &amp; UI/UX Prototype toàn bộ các Tab trên Figma</t>
  </si>
  <si>
    <t>File Figma đầy đủ các màn hình cho 4 Role, cả nhóm FE duyệt trước khi code</t>
  </si>
  <si>
    <t>FW-05</t>
  </si>
  <si>
    <t>Màn Đăng nhập + Quản lý Auth Token + Tự động Refresh</t>
  </si>
  <si>
    <t>Đăng nhập an toàn, tự động làm mới token, không bị văng phiên làm việc</t>
  </si>
  <si>
    <t>FW-06</t>
  </si>
  <si>
    <t>Khung giao diện Web (Sidebar/Header) + Phân quyền Menu theo 4 Role</t>
  </si>
  <si>
    <t>Menu sidebar tự động ẩn/hiện đúng theo quyền</t>
  </si>
  <si>
    <t>Đổi sang 4 vai trò của LuxMap (bỏ Citizen)</t>
  </si>
  <si>
    <t>FW-07</t>
  </si>
  <si>
    <t>GIS Core: Tích hợp MapLibre GL JS + Nguồn Tile</t>
  </si>
  <si>
    <t>Bản đồ tải mượt, hỗ trợ zoom, pan, marker custom theo trạng thái</t>
  </si>
  <si>
    <t>FRONTEND DI ĐỘNG — Tổ khảo sát/sửa chữa · WP6 (FE1 – Thịnh)</t>
  </si>
  <si>
    <t>Đang review</t>
  </si>
  <si>
    <t>CHỐT: MapLibre GL JS (không Leaflet) — cần vector + cluster sẵn có. Nền OSM raster, kiểm tra độ phủ đường nông thôn bằng toạ độ thật trước khi chốt.</t>
  </si>
  <si>
    <t>FW-33</t>
  </si>
  <si>
    <t>Map shell + symbology + legend theo API Contract v1.0</t>
  </si>
  <si>
    <t>Map toàn màn hình + panel trượt; 4 màu trạng thái (normal/dim/out/unknown), phân biệt grid/solar, icon phụ has_iot_node và near_sensitive_poi, legend rõ ràng</t>
  </si>
  <si>
    <t>MỚI v2.0 — LÀM ĐƯỢC NGAY bằng mock GeoJSON (FO-26), không chờ BE. unknown phải có ký hiệu riêng, KHÔNG gộp màu với out.</t>
  </si>
  <si>
    <t>FW-34</t>
  </si>
  <si>
    <t>Đồng bộ trạng thái bản đồ vào URL</t>
  </si>
  <si>
    <t>URL dạng ?lat=&amp;lng=&amp;zoom=&amp;pole=&amp;status= — chia sẻ link mở đúng khung nhìn</t>
  </si>
  <si>
    <t>MỚI v2.0 — làm sớm, thêm sau rất khó vì phải sửa toàn bộ routing</t>
  </si>
  <si>
    <t>FW-08</t>
  </si>
  <si>
    <t>[Tab Bản đồ GIS] Lớp Cột đèn (Point), Tuyến đường &amp; Feeder (LineString)</t>
  </si>
  <si>
    <t>Render FeatureCollection từ GET /poles và /segments; cluster ở zoom xa, từng cột ở zoom gần</t>
  </si>
  <si>
    <t>GỠ CHẶN v2.0 — không chờ BE-14 nữa, bắt đầu ngay bằng mock. Đổi phụ thuộc BE-14 → FW-33.</t>
  </si>
  <si>
    <t>FW-09</t>
  </si>
  <si>
    <t>[Tab Bản đồ GIS] Lọc tài sản theo bbox &amp; Đồng bộ danh sách</t>
  </si>
  <si>
    <t>Kéo bản đồ tới đâu danh sách lọc theo vùng nhìn; &gt;2000 cột hiển thị 'Phóng to để xem chi tiết'</t>
  </si>
  <si>
    <t>TỔNG HỢP TIẾN ĐỘ — tự tính, không sửa tay</t>
  </si>
  <si>
    <t>Xử lý sẵn mã lỗi 413 BBOX_TOO_LARGE theo Contract</t>
  </si>
  <si>
    <t>FM-01</t>
  </si>
  <si>
    <t>Work Package</t>
  </si>
  <si>
    <t>FW-10</t>
  </si>
  <si>
    <t>[Tab Quản lý tài sản] Form đăng ký/sửa Cột, Đèn, Nguồn, Bảo hành</t>
  </si>
  <si>
    <t>Tổng task</t>
  </si>
  <si>
    <t>Kỹ sư thêm mới, sửa thông số cột trực tiếp trên Web/Bản đồ</t>
  </si>
  <si>
    <t>Khởi tạo dự án Android native (Kotlin + Jetpack Compose) + ktlint/detekt</t>
  </si>
  <si>
    <t>App chạy được trên máy thật, cấu trúc package theo tính năng, Hilt DI gắn sẵn</t>
  </si>
  <si>
    <t>Bị chặn</t>
  </si>
  <si>
    <t>Field Ops</t>
  </si>
  <si>
    <t>FW-11</t>
  </si>
  <si>
    <t>[Tab Quản lý tài sản] Import kiểm kê từ CSV + Báo lỗi từng dòng</t>
  </si>
  <si>
    <t>Tải lên hàng trăm cột cùng lúc, hiển thị rõ dòng nào bị lỗi format</t>
  </si>
  <si>
    <t>Nhập dữ liệu khảo sát thực địa FO-10</t>
  </si>
  <si>
    <t>Viết lại hoàn toàn. Khung app chỉ dựng CHO MỘT vai trò (Tổ khảo sát/sửa chữa) — không có màn chọn loại tài khoản.</t>
  </si>
  <si>
    <t>FW-12</t>
  </si>
  <si>
    <t>[Tab Duyệt sự cố] Hàng đợi duyệt: so sánh ảnh đêm với ảnh tham chiếu</t>
  </si>
  <si>
    <t>Xem 2 ảnh cạnh nhau; nút Xác nhận / Đổi loại / Bác bỏ; nút bị disable nếu chuyển trạng thái không hợp lệ</t>
  </si>
  <si>
    <t>FM-02</t>
  </si>
  <si>
    <t>Design system mobile (Compose Theme) theo bộ token chung</t>
  </si>
  <si>
    <t>Luồng trạng thái hợp lệ ở Contract mục 2.5 — disable trước, đừng để user bấm rồi nhận 409</t>
  </si>
  <si>
    <t>Component Compose cơ bản dùng lại được trong toàn app</t>
  </si>
  <si>
    <t>FW-13</t>
  </si>
  <si>
    <t>Dùng chung GIÁ TRỊ token với Web, triển khai lại native. Nút tối thiểu 48×48dp, dark mode mặc định cho màn dùng ban đêm.</t>
  </si>
  <si>
    <t>[Tab Hồ sơ cột đèn] Biểu đồ Luminance Trend &amp; Solar Runtime Trend</t>
  </si>
  <si>
    <t>Biểu đồ vẽ baseline_ratio (KHÔNG phải giá trị tuyệt đối) kèm đường ngưỡng dim_threshold_ratio; biểu đồ thứ 2 vẽ runtime_hours theo đêm</t>
  </si>
  <si>
    <t>FM-03</t>
  </si>
  <si>
    <t>Wireframe luồng khảo sát và luồng tổ sửa chữa</t>
  </si>
  <si>
    <t>Cả nhóm thống nhất trước khi code — cả hai luồng thuộc chung một vai trò, một tài khoản</t>
  </si>
  <si>
    <t>Không thiết kế màn chọn vai trò</t>
  </si>
  <si>
    <t>GỠ CHẶN + ĐẨY SỚM v2.0 (W9→W6): mock-pole-detail.json đã có sẵn chuỗi 30 đêm. Đây là màn thể hiện rõ nhất 'dim là tính toán, không phải cảm quan'.</t>
  </si>
  <si>
    <t>FM-04</t>
  </si>
  <si>
    <t>Lớp API (Retrofit + kotlinx.serialization) sinh từ OpenAPI + xử lý mạng yếu</t>
  </si>
  <si>
    <t>DTO Kotlin sinh tự động qua openapi-generator, có retry khi mạng yếu</t>
  </si>
  <si>
    <t>FW-14</t>
  </si>
  <si>
    <t>Android không dùng chung code với Web, chỉ chung HỢP ĐỒNG API Contract v1.0. Không tự đặt tên field khác backend.</t>
  </si>
  <si>
    <t>[Tab Cụm sự cố] Quản lý Cụm sự cố (Clustering) theo Feeder</t>
  </si>
  <si>
    <t>Highlight CẢ TUYẾN khi segment.has_active_segment_fault=true, không chỉ từng chấm; xác nhận/ghi đè nguyên nhân gốc</t>
  </si>
  <si>
    <t>FM-05</t>
  </si>
  <si>
    <t>Đăng nhập + secure storage + tự làm mới token</t>
  </si>
  <si>
    <t>Không bị đăng xuất giữa chừng</t>
  </si>
  <si>
    <t>Refresh token thời hạn dài vì hiện trường có thể mất mạng nhiều ngày. Dùng mock nếu BE-07 chưa xong.</t>
  </si>
  <si>
    <t>Mock SEG-003 đã cài sẵn cụm sự cố đoạn để test luồng này ngay từ W3</t>
  </si>
  <si>
    <t>Backend</t>
  </si>
  <si>
    <t>FM-06</t>
  </si>
  <si>
    <t>Bản đồ</t>
  </si>
  <si>
    <t>Prototype bản đồ và cột đèn bằng mock GeoJSON (MapLibre Native Android SDK)</t>
  </si>
  <si>
    <t>FW-15</t>
  </si>
  <si>
    <t>Hiển thị marker/cluster mượt; phân biệt normal/dim/out/unknown; chạm cột mở bottom sheet chi tiết</t>
  </si>
  <si>
    <t>[Tab Lệnh sửa chữa] Tạo Work Order từ sự cố đã duyệt + Gom nhóm địa lý</t>
  </si>
  <si>
    <t>Một click gom các cột gần nhau thành 1 Work Order gửi tổ sửa chữa</t>
  </si>
  <si>
    <t>IoT-Firmware</t>
  </si>
  <si>
    <t>ƯU TIÊN SAU FM-03. Chưa gọi API. Mock theo API Contract v1.1: FeatureCollection, tọa độ [lng, lat], pole_id opaque; có grid/solar, has_iot_node, near_sensitive_poi; chuẩn bị bbox và trạng thái 'Phóng to để xem chi tiết'.</t>
  </si>
  <si>
    <t>FM-07</t>
  </si>
  <si>
    <t>Lấy vị trí thiết bị + xin quyền + xử lý khi bị từ chối</t>
  </si>
  <si>
    <t>Thông báo rõ khi bị chặn quyền</t>
  </si>
  <si>
    <t>FW-16</t>
  </si>
  <si>
    <t>[Tab Lệnh sửa chữa] Bảng theo dõi tiến độ + Nghiệm thu ảnh Before/After</t>
  </si>
  <si>
    <t>Kỹ sư nghiệm thu chất lượng sửa chữa qua ảnh trước khi đóng việc</t>
  </si>
  <si>
    <t>FM-08</t>
  </si>
  <si>
    <t>Ghi log GPS + heading liên tục trong suốt sweep</t>
  </si>
  <si>
    <t>Chuỗi toạ độ và hướng đủ dày để khớp từng SurveyFrame — heading từ SensorManager.TYPE_ROTATION_VECTOR, KHÔNG suy diễn từ GPS</t>
  </si>
  <si>
    <t>Thành viên</t>
  </si>
  <si>
    <t>Không có heading thì không làm được pole association ở CV-05. Chốt kỹ thuật này trước khi code.</t>
  </si>
  <si>
    <t>CV-Analytics</t>
  </si>
  <si>
    <t>FW-17</t>
  </si>
  <si>
    <t>[Tab Bản đồ giám sát] Bản đồ giám sát tổng thể mạng lưới</t>
  </si>
  <si>
    <t>Xem toàn cảnh tình trạng chiếu sáng và sự cố tồn đọng</t>
  </si>
  <si>
    <t>FM-09</t>
  </si>
  <si>
    <t>Màn lập kế hoạch tuyến khảo sát</t>
  </si>
  <si>
    <t>Chọn RoadSegment, xem trước lộ trình và số Pole dự kiến</t>
  </si>
  <si>
    <t>Không cho bắt đầu khảo sát nếu chưa xác nhận khoá exposure — chặn cứng</t>
  </si>
  <si>
    <t>FM-10</t>
  </si>
  <si>
    <t>FW-18</t>
  </si>
  <si>
    <t>Ghi metadata capture: thông số camera, thời gian, tuyến</t>
  </si>
  <si>
    <t>[Tab Phân tích vùng tối] Bản đồ nhiệt điểm tối &amp; Nút giao/Cầu</t>
  </si>
  <si>
    <t>Mỗi SurveyFrame có đủ ISO/shutter/aperture kèm theo</t>
  </si>
  <si>
    <t>Nhận diện trực quan các điểm đen thiếu sáng cần đầu tư lắp đặt</t>
  </si>
  <si>
    <t>Thấp</t>
  </si>
  <si>
    <t>Frontend-Desktop</t>
  </si>
  <si>
    <t>Chưa gán</t>
  </si>
  <si>
    <t>FW-19</t>
  </si>
  <si>
    <t>Thiếu trường nào là backend từ chối ở BE-16</t>
  </si>
  <si>
    <t>[Tab Duyệt kế hoạch] Duyệt danh sách sự cố ưu tiên &amp; Phê duyệt đợt</t>
  </si>
  <si>
    <t>Duyệt theo lô công việc kèm dự toán kinh phí sửa chữa</t>
  </si>
  <si>
    <t>FM-11</t>
  </si>
  <si>
    <t>Kiểm tra độ phủ và chất lượng ảnh trước khi nộp sweep</t>
  </si>
  <si>
    <t>Cảnh báo ngay tại xe nếu đoạn nào thiếu SurveyFrame hoặc ảnh mờ</t>
  </si>
  <si>
    <t>FW-20</t>
  </si>
  <si>
    <t>Phát hiện lỗi khi còn ở hiện trường, không phải hôm sau</t>
  </si>
  <si>
    <t>[Tab Dashboard báo cáo] Thẻ KPI: tỉ lệ sáng/mờ/tắt/chưa rõ, tỉ lệ đúng hạn SLA</t>
  </si>
  <si>
    <t>Hiển thị các chỉ số vận hành trọng tâm; unknown là thẻ RIÊNG</t>
  </si>
  <si>
    <t>FM-12</t>
  </si>
  <si>
    <t>Nén + upload có tiến độ, cho huỷ và thử lại</t>
  </si>
  <si>
    <t>Không mất dữ liệu khi rớt mạng giữa chừng</t>
  </si>
  <si>
    <t>Viết lại bằng WorkManager</t>
  </si>
  <si>
    <t>25/01/2027</t>
  </si>
  <si>
    <t>FM-13</t>
  </si>
  <si>
    <t>Frontend-Mobile</t>
  </si>
  <si>
    <t>Upload hàng loạt hoãn đến khi có wifi</t>
  </si>
  <si>
    <t>Sweep vài GB không đốt hết 4G của người khảo sát</t>
  </si>
  <si>
    <t>Đọc cấu hình từ FM-26</t>
  </si>
  <si>
    <t>FM-14</t>
  </si>
  <si>
    <t>Nhập số đo lux tại hiện trường</t>
  </si>
  <si>
    <t>Ghi được số đo kèm pole_id, phục vụ ground truth cho CV-12</t>
  </si>
  <si>
    <t>GIẢI QUYẾT v2.0 — entity đã có tên chính thức: BE-42 (LuxReading). ĐẨY LÊN W4–W5 để kịp FO-14 ở W5 (trước đây ở W9, lệch lịch).</t>
  </si>
  <si>
    <t>FM-15</t>
  </si>
  <si>
    <t>Bản đồ tài sản trên mobile: marker theo tình trạng đèn</t>
  </si>
  <si>
    <t>Hiển thị mượt vài trăm Pole/Fixture; 4 trạng thái normal/dim/out/unknown</t>
  </si>
  <si>
    <t>BỔ SUNG v2.0: thêm chỉ số unknown (độ phủ sweep) — đây cũng là chỉ số chất lượng khảo sát</t>
  </si>
  <si>
    <t>Pole và Fixture TÁCH RIÊNG theo BE-09. Dùng chung bảng màu với FW-33.</t>
  </si>
  <si>
    <t>TỔNG CỘNG</t>
  </si>
  <si>
    <t>FM-16</t>
  </si>
  <si>
    <t>FW-21</t>
  </si>
  <si>
    <t>Tổng quan</t>
  </si>
  <si>
    <t>Trang chủ tổng quan: việc trong ngày, cảnh báo quá hạn</t>
  </si>
  <si>
    <t>[Tab Dashboard báo cáo] Biểu đồ so sánh tỉ lệ hỏng đa chiều</t>
  </si>
  <si>
    <t>Mở app thấy đúng việc của mình — cả SurveySweep đã lên kế hoạch lẫn WorkOrder được gán</t>
  </si>
  <si>
    <t>Phân tích theo địa bàn/loại đèn/NCC/năm lắp</t>
  </si>
  <si>
    <t>Màn dùng CHUNG cho toàn bộ vai trò Tổ khảo sát/sửa chữa</t>
  </si>
  <si>
    <t>FM-17</t>
  </si>
  <si>
    <t>Sửa chữa</t>
  </si>
  <si>
    <t>Chi tiết work order: vị trí, loại sự cố, ảnh tham chiếu, dẫn đường</t>
  </si>
  <si>
    <t>Đi đến đúng Pole, biết trước phải sửa Fixture nào</t>
  </si>
  <si>
    <t>FW-22</t>
  </si>
  <si>
    <t>[Tab Giám sát bảo hành] Theo dõi đèn sắp hết hạn bảo hành + Xuất PDF/CSV</t>
  </si>
  <si>
    <t>Cảnh báo tài sản sắp hết bảo hành</t>
  </si>
  <si>
    <t>FM-25</t>
  </si>
  <si>
    <t>Cần BE-20 (API chi tiết cột) để hiển thị biểu đồ luminance/runtime</t>
  </si>
  <si>
    <t>FM-18</t>
  </si>
  <si>
    <t>Cập nhật tại hiện trường + ảnh before/after</t>
  </si>
  <si>
    <t>Đóng WorkOrder kèm RepairEvidence ngay tại chỗ</t>
  </si>
  <si>
    <t>FW-23</t>
  </si>
  <si>
    <t>Quản trị hệ thống</t>
  </si>
  <si>
    <t>RepairEvidence tách hoàn toàn khỏi SurveyFrame theo BE-11. Cần BE-24.</t>
  </si>
  <si>
    <t>[Tab Quản lý người dùng] Quản lý tài khoản &amp; Phân vai theo địa bàn</t>
  </si>
  <si>
    <t>Tạo tài khoản, khóa/mở khóa, gán quyền theo địa bàn/vai trò (RBAC)</t>
  </si>
  <si>
    <t>FM-19</t>
  </si>
  <si>
    <t>Báo sự cố phát sinh quan sát tại chỗ</t>
  </si>
  <si>
    <t>Ghi nhận Fixture hỏng ngoài danh sách, tạo Fault nguồn field_report</t>
  </si>
  <si>
    <t>GIẢI QUYẾT v2.0 — endpoint POST /faults nguồn field_report đã được bổ sung thành BE-41. Cảnh báo liên WP trước đây đã xử lý.</t>
  </si>
  <si>
    <t>FW-24</t>
  </si>
  <si>
    <t>[Tab Cấu hình danh mục] Danh mục loại đèn, loại sự cố, ngưỡng cảnh báo</t>
  </si>
  <si>
    <t>Sửa ngưỡng dim/out không cần can thiệp database</t>
  </si>
  <si>
    <t>FM-20</t>
  </si>
  <si>
    <t>Chế độ offline đầy đủ + hàng đợi đồng bộ</t>
  </si>
  <si>
    <t>Làm việc trọn ngày không mạng, có mạng thì đồng bộ hết; mỗi thao tác có client_op_id để backend khử trùng lặp</t>
  </si>
  <si>
    <t>Đổi phụ thuộc FM-18 → BE-43 (API sync/bundle + sync/push). Hàng đợi phải xử lý cả lux_reading (FM-14) và notification cache (FM-21).</t>
  </si>
  <si>
    <t>FW-25</t>
  </si>
  <si>
    <t>FM-21</t>
  </si>
  <si>
    <t>[Tab Trọng số ưu tiên] Cấu hình trọng số chấm điểm sự cố</t>
  </si>
  <si>
    <t>Thông báo trong ứng dụng</t>
  </si>
  <si>
    <t>Điều chỉnh công thức chấm điểm mà không cần deploy lại code</t>
  </si>
  <si>
    <t>Được gán WorkOrder mới hoặc đổi mức ưu tiên là nhận được thông báo</t>
  </si>
  <si>
    <t>Chốt tên bảng/entity cùng BE1-Mỹ trước W16</t>
  </si>
  <si>
    <t>FM-22</t>
  </si>
  <si>
    <t>Rà soát 4 trạng thái mọi màn</t>
  </si>
  <si>
    <t>Không màn nào thiếu trạng thái lỗi</t>
  </si>
  <si>
    <t>FW-26</t>
  </si>
  <si>
    <t>[Tab Thiết bị IoT &amp; AI] Quản lý Node IoT, Firmware &amp; Model AI</t>
  </si>
  <si>
    <t>Xem node nào đang chạy, truy vết kết quả do model phiên bản nào tạo</t>
  </si>
  <si>
    <t>Áp dụng cho toàn bộ 15 màn, kể cả màn lux và màn thông báo</t>
  </si>
  <si>
    <t>FM-23</t>
  </si>
  <si>
    <t>Kiểm thử đa thiết bị + mạng yếu + dùng ban đêm</t>
  </si>
  <si>
    <t>Đọc được màn hình trong xe ban đêm, không chói mắt</t>
  </si>
  <si>
    <t>FW-27</t>
  </si>
  <si>
    <t>[Tab Giám sát hệ thống] Giám sát Job xử lý sweep &amp; Dung lượng MinIO</t>
  </si>
  <si>
    <t>Kiểm thử chế độ tối cho khảo sát đêm</t>
  </si>
  <si>
    <t>Biết sweep nào xử lý lỗi, cảnh báo dung lượng lưu trữ ảnh</t>
  </si>
  <si>
    <t>FM-24</t>
  </si>
  <si>
    <t>Sửa lỗi tích hợp + ảnh chụp màn hình cho báo cáo</t>
  </si>
  <si>
    <t>Đủ ảnh luồng khảo sát và luồng sửa chữa</t>
  </si>
  <si>
    <t>Màn danh sách công việc đầy đủ: lọc theo trạng thái/ưu tiên</t>
  </si>
  <si>
    <t>Xem toàn bộ WorkOrder được giao, thứ tự mặc định theo priority_score backend trả về</t>
  </si>
  <si>
    <t>FW-28</t>
  </si>
  <si>
    <t>Giám sát khảo sát</t>
  </si>
  <si>
    <t>[Tab Quản lý Sweep] Theo dõi đợt quét: độ phủ, chất lượng ảnh, tiến độ AI</t>
  </si>
  <si>
    <t>Biết sweep nào lỗi, đoạn nào thiếu ảnh, tiến độ AI xử lý</t>
  </si>
  <si>
    <t>Không tự sắp xếp lại thứ tự ưu tiên phía client</t>
  </si>
  <si>
    <t>FM-26</t>
  </si>
  <si>
    <t>Màn Cá nhân &amp; Cài đặt: tài khoản, cài đặt tải lên, xoá cache bản đồ, đăng xuất</t>
  </si>
  <si>
    <t>Đổi được cài đặt tải lên, xoá cache bản đồ offline, cảnh báo khi đăng xuất mà còn dữ liệu chưa đồng bộ</t>
  </si>
  <si>
    <t>Dựng sớm vì FM-13 đọc đúng cài đặt tạo ở đây</t>
  </si>
  <si>
    <t>FW-29</t>
  </si>
  <si>
    <t>Hoàn thiện &amp; Test</t>
  </si>
  <si>
    <t>FM-27</t>
  </si>
  <si>
    <t>[Tab Bảng điều phối] Bảng điều phối công việc (Kanban) kèm cảnh báo SLA</t>
  </si>
  <si>
    <t>Sắp xếp, lọc theo mức độ khẩn cấp, sắp/đã quá hạn xử lý</t>
  </si>
  <si>
    <t>Màn chi tiết cột đèn từ bản đồ (mở rộng từ xem nhanh)</t>
  </si>
  <si>
    <t>Xem đủ thông số kỹ thuật, trạng thái, lịch sử luminance/runtime và lịch sử ảnh chụp khảo sát (SurveyFrame thumbnail theo từng sweep) của 1 Pole/Fixture ngay từ bản đồ, không cần qua Work Order</t>
  </si>
  <si>
    <t>FW-30</t>
  </si>
  <si>
    <t>FM-06, BE-20</t>
  </si>
  <si>
    <t>[Toàn bộ Web App] Rà soát 4 trạng thái mọi màn: Loading, Has-Data, Empty, Error</t>
  </si>
  <si>
    <t>Không màn hình nào bị trắng trang khi lỗi hoặc chưa có dữ liệu</t>
  </si>
  <si>
    <t>Tách khỏi FM-17 — cho xem chi tiết cột đèn trực tiếp từ bản đồ, không cần Work Order gán trước. Dùng lại field iot_node/luminance_history/recent_frames như mock-pole-detail.json. recent_frames chỉ có thumbnail, không phải ảnh gốc bấm vào thumbnail có cần mở full-size không thì để quyết định sau khi  có API BE-20 thật.</t>
  </si>
  <si>
    <t>FM-28</t>
  </si>
  <si>
    <t>Nút "Chỉ đường" mở ứng dụng bản đồ ngoài</t>
  </si>
  <si>
    <t>Từ màn chi tiết cột đèn, bấm 1 nút mở Google Maps dẫn đường tới đúng toạ độ cột</t>
  </si>
  <si>
    <t>Mở app bản đồ ngoài bằng Intent, không tự xây turn-by-turn navigation</t>
  </si>
  <si>
    <t>FW-31</t>
  </si>
  <si>
    <t>[Toàn bộ Web App] Kiểm thử Responsive 1366px–2560px + Đa trình duyệt</t>
  </si>
  <si>
    <t>Giao diện không vỡ bố cục trên Chrome, Edge, Firefox, Safari</t>
  </si>
  <si>
    <t>FM-29</t>
  </si>
  <si>
    <t>CSDL local và prefetch dữ liệu cho chế độ offline</t>
  </si>
  <si>
    <t>Room lưu dữ liệu thao tác/cached; đăng nhập có thể tải trước tài sản, tuyến và WorkOrder để dùng khi mất mạng</t>
  </si>
  <si>
    <t>W3–W5</t>
  </si>
  <si>
    <t>FM-04, BE-14</t>
  </si>
  <si>
    <t>[Toàn bộ Web App] Sửa lỗi tích hợp API + Chụp ảnh giao diện làm báo cáo</t>
  </si>
  <si>
    <t>Tách rõ nền tảng dữ liệu offline khỏi FM-20: Room, cache, prefetch và mốc đồng bộ. Không chờ mạng khi thao tác hiện trường.</t>
  </si>
  <si>
    <t>Đủ bộ ảnh chụp màn hình hoàn chỉnh cho slide và tài liệu nghiệm thu</t>
  </si>
  <si>
    <t>FM-30</t>
  </si>
  <si>
    <t>Camera Capture Mode và kiểm tra khóa exposure</t>
  </si>
  <si>
    <t>Chụp SurveyFrame bằng CameraX/Camera2Interop; chỉ cho bắt đầu khi camera, exposure lock, GPS, heading, pin và dung lượng đạt yêu cầu</t>
  </si>
  <si>
    <t>FM-07, FM-08</t>
  </si>
  <si>
    <t>FM-08/10 chỉ phụ trách GPS-heading và metadata. Task này chịu trách nhiệm Capture Mode, CameraX/Camera2Interop và chặn cứng khi chưa khóa exposure.</t>
  </si>
  <si>
    <t>FM-31</t>
  </si>
  <si>
    <t>Tải và quản lý vùng bản đồ offline</t>
  </si>
  <si>
    <t>Tải/xóa/cập nhật tile và dữ liệu tài sản theo khu vực phụ trách; hiển thị phạm vi, phiên bản và dung lượng cache</t>
  </si>
  <si>
    <t>FM-29, BE-14</t>
  </si>
  <si>
    <t>Chốt nguồn tile, giấy phép, giới hạn cache và chiến lược offline region cùng WP5. FM-26 chỉ quản lý cài đặt/xóa cache.</t>
  </si>
  <si>
    <t>FM-32</t>
  </si>
  <si>
    <t>Bảo mật và vòng đời dữ liệu hiện trường</t>
  </si>
  <si>
    <t>Ảnh/GPS lưu app-specific storage, backup loại trừ dữ liệu nhạy cảm; logout giữ dữ liệu an toàn theo tài khoản</t>
  </si>
  <si>
    <t>FM-05, FM-29</t>
  </si>
  <si>
    <t>Bổ sung ngoài mã hóa token: không đưa ảnh vào Gallery, không log payload nhạy cảm và chỉ dọn dữ liệu sau khi server xác nhận thành công.</t>
  </si>
  <si>
    <t>FM-33</t>
  </si>
  <si>
    <t>Push notification và deep link WorkOrder</t>
  </si>
  <si>
    <t>Nhận thông báo, đồng bộ delta khi online, dùng cache khi offline và mở đúng màn hình WorkOrder từ thông báo</t>
  </si>
  <si>
    <t>FM-21, BE-27</t>
  </si>
  <si>
    <t>FM-21 phụ trách danh sách thông báo. Task này phụ trách nhận push, refresh dữ liệu và deep-link an toàn.</t>
  </si>
  <si>
    <t>FM-34</t>
  </si>
  <si>
    <t>Mã kiểm thử tự động: unit test và UI/instrumentation test</t>
  </si>
  <si>
    <t>Có test cho đăng nhập/refresh token, xử lý lỗi mạng và GeoJSON; kiểm tra luồng đăng nhập, quyền vị trí và trạng thái Loading/Empty/Error trên emulator</t>
  </si>
  <si>
    <t>FM-20, FM-22</t>
  </si>
  <si>
    <t>Không thay thế FM-23 (kiểm thử thủ công đa thiết bị/ngoài thực địa). Unit test chạy logic nhanh; UI test chạy trên emulator để phát hiện lỗi hồi quy trước khi bàn giao.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</si>
</sst>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4">
    <font>
      <sz val="11.0"/>
      <color theme="1"/>
      <name val="Calibri"/>
      <scheme val="minor"/>
    </font>
    <font>
      <b/>
      <sz val="15.0"/>
      <color rgb="FFFFFFFF"/>
      <name val="Arial"/>
    </font>
    <font/>
    <font>
      <b/>
      <sz val="12.0"/>
      <color rgb="FFFFFFFF"/>
      <name val="Arial"/>
    </font>
    <font>
      <i/>
      <sz val="10.0"/>
      <color theme="1"/>
      <name val="Arial"/>
    </font>
    <font>
      <b/>
      <sz val="10.0"/>
      <color theme="1"/>
      <name val="Arial"/>
    </font>
    <font>
      <sz val="10.0"/>
      <color theme="1"/>
      <name val="Arial"/>
    </font>
    <font>
      <b/>
      <sz val="9.0"/>
      <color rgb="FFFFFFFF"/>
      <name val="Arial"/>
    </font>
    <font>
      <b/>
      <sz val="9.0"/>
      <color theme="1"/>
      <name val="Arial"/>
    </font>
    <font>
      <sz val="9.0"/>
      <color theme="1"/>
      <name val="Arial"/>
    </font>
    <font>
      <sz val="11.0"/>
      <color theme="1"/>
      <name val="Calibri"/>
    </font>
    <font>
      <b/>
      <sz val="10.0"/>
      <color rgb="FFFFFFFF"/>
      <name val="Arial"/>
    </font>
    <font>
      <b/>
      <sz val="10.0"/>
      <color rgb="FF000000"/>
      <name val="Arial"/>
    </font>
    <font>
      <sz val="10.0"/>
      <color rgb="FF000000"/>
      <name val="Arial"/>
    </font>
  </fonts>
  <fills count="7">
    <fill>
      <patternFill patternType="none"/>
    </fill>
    <fill>
      <patternFill patternType="lightGray"/>
    </fill>
    <fill>
      <patternFill patternType="solid">
        <fgColor rgb="FF1F3864"/>
        <bgColor rgb="FF1F3864"/>
      </patternFill>
    </fill>
    <fill>
      <patternFill patternType="solid">
        <fgColor rgb="FF2E5C8A"/>
        <bgColor rgb="FF2E5C8A"/>
      </patternFill>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s>
  <borders count="5">
    <border/>
    <border>
      <left/>
      <top/>
      <bottom/>
    </border>
    <border>
      <right/>
      <top/>
      <bottom/>
    </border>
    <border>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1" fillId="2" fontId="3" numFmtId="0" xfId="0" applyAlignment="1" applyBorder="1" applyFill="1" applyFont="1">
      <alignment shrinkToFit="0" vertical="bottom" wrapText="0"/>
    </xf>
    <xf borderId="0" fillId="0" fontId="4" numFmtId="0" xfId="0" applyAlignment="1" applyFont="1">
      <alignment shrinkToFit="0" vertical="bottom" wrapText="0"/>
    </xf>
    <xf borderId="3" fillId="0" fontId="2" numFmtId="0" xfId="0" applyBorder="1" applyFont="1"/>
    <xf borderId="0" fillId="0" fontId="5" numFmtId="0" xfId="0" applyAlignment="1" applyFont="1">
      <alignment shrinkToFit="0" vertical="bottom" wrapText="0"/>
    </xf>
    <xf borderId="0" fillId="0" fontId="6" numFmtId="0" xfId="0" applyAlignment="1" applyFont="1">
      <alignment shrinkToFit="0" vertical="top" wrapText="1"/>
    </xf>
    <xf borderId="4" fillId="3" fontId="7" numFmtId="0" xfId="0" applyAlignment="1" applyBorder="1" applyFill="1" applyFont="1">
      <alignment horizontal="center" shrinkToFit="0" vertical="center" wrapText="1"/>
    </xf>
    <xf borderId="4" fillId="0" fontId="8" numFmtId="0" xfId="0" applyAlignment="1" applyBorder="1" applyFont="1">
      <alignment horizontal="left" shrinkToFit="0" vertical="top" wrapText="0"/>
    </xf>
    <xf borderId="4" fillId="0" fontId="9" numFmtId="0" xfId="0" applyAlignment="1" applyBorder="1" applyFont="1">
      <alignment horizontal="left" shrinkToFit="0" vertical="top" wrapText="0"/>
    </xf>
    <xf borderId="4" fillId="0" fontId="9" numFmtId="0" xfId="0" applyAlignment="1" applyBorder="1" applyFont="1">
      <alignment horizontal="left" shrinkToFit="0" vertical="top" wrapText="1"/>
    </xf>
    <xf borderId="4" fillId="0" fontId="9" numFmtId="0" xfId="0" applyAlignment="1" applyBorder="1" applyFont="1">
      <alignment horizontal="left" readingOrder="0" shrinkToFit="0" vertical="top" wrapText="0"/>
    </xf>
    <xf borderId="4" fillId="0" fontId="9" numFmtId="0" xfId="0" applyAlignment="1" applyBorder="1" applyFont="1">
      <alignment horizontal="center" shrinkToFit="0" vertical="top" wrapText="0"/>
    </xf>
    <xf borderId="4" fillId="4" fontId="10" numFmtId="0" xfId="0" applyAlignment="1" applyBorder="1" applyFill="1" applyFont="1">
      <alignment shrinkToFit="0" vertical="bottom" wrapText="0"/>
    </xf>
    <xf borderId="4" fillId="0" fontId="10" numFmtId="0" xfId="0" applyAlignment="1" applyBorder="1" applyFont="1">
      <alignment shrinkToFit="0" vertical="bottom" wrapText="0"/>
    </xf>
    <xf borderId="4" fillId="5" fontId="8" numFmtId="0" xfId="0" applyAlignment="1" applyBorder="1" applyFill="1" applyFont="1">
      <alignment horizontal="left" shrinkToFit="0" vertical="top" wrapText="0"/>
    </xf>
    <xf borderId="4" fillId="5" fontId="9" numFmtId="0" xfId="0" applyAlignment="1" applyBorder="1" applyFill="1" applyFont="1">
      <alignment horizontal="left" shrinkToFit="0" vertical="top" wrapText="0"/>
    </xf>
    <xf borderId="4" fillId="5" fontId="9" numFmtId="0" xfId="0" applyAlignment="1" applyBorder="1" applyFill="1" applyFont="1">
      <alignment horizontal="left" shrinkToFit="0" vertical="top" wrapText="1"/>
    </xf>
    <xf borderId="4" fillId="5" fontId="9" numFmtId="0" xfId="0" applyAlignment="1" applyBorder="1" applyFill="1" applyFont="1">
      <alignment horizontal="center" shrinkToFit="0" vertical="top" wrapText="0"/>
    </xf>
    <xf borderId="4" fillId="5" fontId="9" numFmtId="0" xfId="0" applyAlignment="1" applyBorder="1" applyFill="1" applyFont="1">
      <alignment horizontal="center" readingOrder="0" shrinkToFit="0" vertical="top" wrapText="0"/>
    </xf>
    <xf borderId="4" fillId="5" fontId="9" numFmtId="9" xfId="0" applyAlignment="1" applyBorder="1" applyFill="1" applyFont="1" applyNumberFormat="1">
      <alignment horizontal="center" readingOrder="0" shrinkToFit="0" vertical="top" wrapText="0"/>
    </xf>
    <xf borderId="4" fillId="0" fontId="9" numFmtId="0" xfId="0" applyAlignment="1" applyBorder="1" applyFont="1">
      <alignment horizontal="center" readingOrder="0" shrinkToFit="0" vertical="top" wrapText="0"/>
    </xf>
    <xf borderId="1" fillId="2" fontId="3" numFmtId="0" xfId="0" applyAlignment="1" applyBorder="1" applyFill="1" applyFont="1">
      <alignment readingOrder="0" shrinkToFit="0" vertical="bottom" wrapText="0"/>
    </xf>
    <xf borderId="4" fillId="5" fontId="9" numFmtId="0" xfId="0" applyAlignment="1" applyBorder="1" applyFill="1" applyFont="1">
      <alignment horizontal="left" readingOrder="0" shrinkToFit="0" vertical="top" wrapText="0"/>
    </xf>
    <xf borderId="4" fillId="0" fontId="9" numFmtId="9" xfId="0" applyAlignment="1" applyBorder="1" applyFont="1" applyNumberFormat="1">
      <alignment horizontal="center" readingOrder="0" shrinkToFit="0" vertical="top" wrapText="0"/>
    </xf>
    <xf borderId="1" fillId="2" fontId="11" numFmtId="0" xfId="0" applyAlignment="1" applyBorder="1" applyFill="1" applyFont="1">
      <alignment readingOrder="0" shrinkToFit="0" vertical="bottom" wrapText="0"/>
    </xf>
    <xf borderId="4" fillId="3" fontId="11" numFmtId="0" xfId="0" applyAlignment="1" applyBorder="1" applyFill="1" applyFont="1">
      <alignment horizontal="center" shrinkToFit="0" vertical="center" wrapText="1"/>
    </xf>
    <xf borderId="4" fillId="0" fontId="5" numFmtId="0" xfId="0" applyAlignment="1" applyBorder="1" applyFont="1">
      <alignment horizontal="left" shrinkToFit="0" vertical="top" wrapText="0"/>
    </xf>
    <xf borderId="4" fillId="3" fontId="11" numFmtId="0" xfId="0" applyAlignment="1" applyBorder="1" applyFill="1" applyFont="1">
      <alignment horizontal="center" shrinkToFit="0" vertical="bottom" wrapText="1"/>
    </xf>
    <xf borderId="4" fillId="0" fontId="6" numFmtId="0" xfId="0" applyAlignment="1" applyBorder="1" applyFont="1">
      <alignment horizontal="left" shrinkToFit="0" vertical="top" wrapText="0"/>
    </xf>
    <xf borderId="4" fillId="0" fontId="6" numFmtId="0" xfId="0" applyAlignment="1" applyBorder="1" applyFont="1">
      <alignment horizontal="left" shrinkToFit="0" vertical="top" wrapText="1"/>
    </xf>
    <xf borderId="4" fillId="0" fontId="6" numFmtId="0" xfId="0" applyAlignment="1" applyBorder="1" applyFont="1">
      <alignment horizontal="left" readingOrder="0" shrinkToFit="0" vertical="top" wrapText="0"/>
    </xf>
    <xf borderId="4" fillId="0" fontId="5" numFmtId="0" xfId="0" applyAlignment="1" applyBorder="1" applyFont="1">
      <alignment shrinkToFit="0" vertical="bottom" wrapText="0"/>
    </xf>
    <xf borderId="4" fillId="0" fontId="6" numFmtId="0" xfId="0" applyAlignment="1" applyBorder="1" applyFont="1">
      <alignment horizontal="center" shrinkToFit="0" vertical="top" wrapText="0"/>
    </xf>
    <xf borderId="4" fillId="0" fontId="6" numFmtId="0" xfId="0" applyAlignment="1" applyBorder="1" applyFont="1">
      <alignment horizontal="center" readingOrder="0" shrinkToFit="0" vertical="top" wrapText="0"/>
    </xf>
    <xf borderId="4" fillId="0" fontId="6" numFmtId="9" xfId="0" applyAlignment="1" applyBorder="1" applyFont="1" applyNumberFormat="1">
      <alignment horizontal="center" readingOrder="0" shrinkToFit="0" vertical="top" wrapText="0"/>
    </xf>
    <xf borderId="4" fillId="0" fontId="6" numFmtId="0" xfId="0" applyAlignment="1" applyBorder="1" applyFont="1">
      <alignment shrinkToFit="0" vertical="bottom" wrapText="0"/>
    </xf>
    <xf borderId="4" fillId="4" fontId="6" numFmtId="0" xfId="0" applyAlignment="1" applyBorder="1" applyFill="1" applyFont="1">
      <alignment shrinkToFit="0" vertical="bottom" wrapText="0"/>
    </xf>
    <xf borderId="4" fillId="0" fontId="6" numFmtId="0" xfId="0" applyAlignment="1" applyBorder="1" applyFont="1">
      <alignment horizontal="center" shrinkToFit="0" vertical="bottom" wrapText="0"/>
    </xf>
    <xf borderId="4" fillId="0" fontId="6" numFmtId="0" xfId="0" applyAlignment="1" applyBorder="1" applyFont="1">
      <alignment horizontal="left" readingOrder="0" shrinkToFit="0" vertical="top" wrapText="1"/>
    </xf>
    <xf borderId="4" fillId="3" fontId="11" numFmtId="0" xfId="0" applyAlignment="1" applyBorder="1" applyFill="1" applyFont="1">
      <alignment shrinkToFit="0" vertical="bottom" wrapText="0"/>
    </xf>
    <xf borderId="0" fillId="0" fontId="6" numFmtId="0" xfId="0" applyAlignment="1" applyFont="1">
      <alignment shrinkToFit="0" vertical="bottom" wrapText="0"/>
    </xf>
    <xf borderId="4" fillId="6" fontId="5" numFmtId="0" xfId="0" applyAlignment="1" applyBorder="1" applyFill="1" applyFont="1">
      <alignment shrinkToFit="0" vertical="bottom" wrapText="0"/>
    </xf>
    <xf borderId="4" fillId="6" fontId="5" numFmtId="0" xfId="0" applyAlignment="1" applyBorder="1" applyFill="1" applyFont="1">
      <alignment horizontal="center" shrinkToFit="0" vertical="bottom" wrapText="0"/>
    </xf>
    <xf borderId="4" fillId="0" fontId="5" numFmtId="0" xfId="0" applyAlignment="1" applyBorder="1" applyFont="1">
      <alignment horizontal="left" readingOrder="0" shrinkToFit="0" vertical="top" wrapText="0"/>
    </xf>
    <xf borderId="4" fillId="0" fontId="6" numFmtId="164" xfId="0" applyAlignment="1" applyBorder="1" applyFont="1" applyNumberFormat="1">
      <alignment horizontal="center" readingOrder="0" shrinkToFit="0" vertical="top" wrapText="0"/>
    </xf>
    <xf borderId="4" fillId="0" fontId="6" numFmtId="165" xfId="0" applyAlignment="1" applyBorder="1" applyFont="1" applyNumberFormat="1">
      <alignment horizontal="center" readingOrder="0" shrinkToFit="0" vertical="top" wrapText="0"/>
    </xf>
    <xf borderId="0" fillId="0" fontId="6" numFmtId="0" xfId="0" applyFont="1"/>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164" xfId="0" applyAlignment="1" applyFont="1" applyNumberFormat="1">
      <alignment horizontal="right" readingOrder="0" shrinkToFit="0" vertical="bottom" wrapText="0"/>
    </xf>
    <xf borderId="0" fillId="0" fontId="13" numFmtId="165" xfId="0" applyAlignment="1" applyFont="1" applyNumberFormat="1">
      <alignment horizontal="right" readingOrder="0" shrinkToFit="0" vertical="bottom" wrapText="0"/>
    </xf>
    <xf borderId="0" fillId="0" fontId="13" numFmtId="9" xfId="0" applyAlignment="1" applyFont="1" applyNumberFormat="1">
      <alignment horizontal="right" readingOrder="0" shrinkToFit="0" vertical="bottom" wrapText="0"/>
    </xf>
    <xf borderId="0" fillId="0" fontId="13" numFmtId="0" xfId="0" applyAlignment="1" applyFont="1">
      <alignment shrinkToFit="0" vertical="bottom" wrapText="0"/>
    </xf>
  </cellXfs>
  <cellStyles count="1">
    <cellStyle xfId="0" name="Normal" builtinId="0"/>
  </cellStyles>
  <dxfs count="5">
    <dxf>
      <font/>
      <fill>
        <patternFill patternType="solid">
          <fgColor rgb="FFC6EFCE"/>
          <bgColor rgb="FFC6EFCE"/>
        </patternFill>
      </fill>
      <border/>
    </dxf>
    <dxf>
      <font/>
      <fill>
        <patternFill patternType="solid">
          <fgColor rgb="FFFFF2CC"/>
          <bgColor rgb="FFFFF2CC"/>
        </patternFill>
      </fill>
      <border/>
    </dxf>
    <dxf>
      <font/>
      <fill>
        <patternFill patternType="solid">
          <fgColor rgb="FFDDEBF7"/>
          <bgColor rgb="FFDDEBF7"/>
        </patternFill>
      </fill>
      <border/>
    </dxf>
    <dxf>
      <font/>
      <fill>
        <patternFill patternType="solid">
          <fgColor rgb="FFFFC7CE"/>
          <bgColor rgb="FFFFC7CE"/>
        </patternFill>
      </fill>
      <border/>
    </dxf>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112.0"/>
    <col customWidth="1" min="3" max="26" width="8.71"/>
  </cols>
  <sheetData>
    <row r="1">
      <c r="A1" s="1" t="s">
        <v>0</v>
      </c>
      <c r="B1" s="2"/>
    </row>
    <row r="2">
      <c r="A2" s="4" t="s">
        <v>2</v>
      </c>
    </row>
    <row r="4">
      <c r="A4" s="3" t="s">
        <v>3</v>
      </c>
      <c r="B4" s="2"/>
    </row>
    <row r="5" ht="25.5" customHeight="1">
      <c r="A5" s="6" t="s">
        <v>4</v>
      </c>
      <c r="B5" s="7" t="s">
        <v>5</v>
      </c>
    </row>
    <row r="6" ht="25.5" customHeight="1">
      <c r="A6" s="6" t="s">
        <v>6</v>
      </c>
      <c r="B6" s="7" t="s">
        <v>7</v>
      </c>
    </row>
    <row r="7" ht="25.5" customHeight="1">
      <c r="A7" s="6" t="s">
        <v>8</v>
      </c>
      <c r="B7" s="7" t="s">
        <v>11</v>
      </c>
    </row>
    <row r="8" ht="25.5" customHeight="1">
      <c r="A8" s="6" t="s">
        <v>12</v>
      </c>
      <c r="B8" s="7" t="s">
        <v>13</v>
      </c>
    </row>
    <row r="9" ht="25.5" customHeight="1">
      <c r="A9" s="6" t="s">
        <v>14</v>
      </c>
      <c r="B9" s="7" t="s">
        <v>15</v>
      </c>
    </row>
    <row r="10" ht="25.5" customHeight="1">
      <c r="A10" s="6" t="s">
        <v>17</v>
      </c>
      <c r="B10" s="7" t="s">
        <v>18</v>
      </c>
    </row>
    <row r="11" ht="25.5" customHeight="1">
      <c r="A11" s="6" t="s">
        <v>19</v>
      </c>
      <c r="B11" s="7" t="s">
        <v>20</v>
      </c>
    </row>
    <row r="13">
      <c r="A13" s="3" t="s">
        <v>21</v>
      </c>
      <c r="B13" s="2"/>
    </row>
    <row r="14" ht="15.0" customHeight="1">
      <c r="A14" s="6" t="s">
        <v>24</v>
      </c>
      <c r="B14" s="7" t="s">
        <v>26</v>
      </c>
    </row>
    <row r="15" ht="15.0" customHeight="1">
      <c r="A15" s="6" t="s">
        <v>28</v>
      </c>
      <c r="B15" s="7" t="s">
        <v>30</v>
      </c>
    </row>
    <row r="16" ht="15.0" customHeight="1">
      <c r="A16" s="6" t="s">
        <v>33</v>
      </c>
      <c r="B16" s="7" t="s">
        <v>34</v>
      </c>
    </row>
    <row r="17" ht="15.0" customHeight="1">
      <c r="A17" s="6" t="s">
        <v>36</v>
      </c>
      <c r="B17" s="7" t="s">
        <v>38</v>
      </c>
    </row>
    <row r="19">
      <c r="A19" s="3" t="s">
        <v>41</v>
      </c>
      <c r="B19" s="2"/>
    </row>
    <row r="20" ht="15.0" customHeight="1">
      <c r="A20" s="6" t="s">
        <v>47</v>
      </c>
      <c r="B20" s="7" t="s">
        <v>49</v>
      </c>
    </row>
    <row r="21" ht="15.0" customHeight="1">
      <c r="A21" s="6" t="s">
        <v>52</v>
      </c>
      <c r="B21" s="7" t="s">
        <v>53</v>
      </c>
    </row>
    <row r="22" ht="15.0" customHeight="1">
      <c r="A22" s="6" t="s">
        <v>55</v>
      </c>
      <c r="B22" s="7" t="s">
        <v>57</v>
      </c>
    </row>
    <row r="23" ht="15.0" customHeight="1">
      <c r="A23" s="6" t="s">
        <v>60</v>
      </c>
      <c r="B23" s="7" t="s">
        <v>61</v>
      </c>
    </row>
    <row r="24" ht="15.0" customHeight="1">
      <c r="A24" s="6" t="s">
        <v>64</v>
      </c>
      <c r="B24" s="7" t="s">
        <v>66</v>
      </c>
    </row>
    <row r="25" ht="15.0" customHeight="1">
      <c r="A25" s="6" t="s">
        <v>67</v>
      </c>
      <c r="B25" s="7" t="s">
        <v>68</v>
      </c>
    </row>
    <row r="26" ht="15.75" customHeight="1"/>
    <row r="27" ht="15.75" customHeight="1">
      <c r="A27" s="3" t="s">
        <v>70</v>
      </c>
      <c r="B27" s="2"/>
    </row>
    <row r="28" ht="15.0" customHeight="1">
      <c r="A28" s="6" t="s">
        <v>75</v>
      </c>
      <c r="B28" s="7" t="s">
        <v>77</v>
      </c>
    </row>
    <row r="29" ht="15.0" customHeight="1">
      <c r="A29" s="6" t="s">
        <v>79</v>
      </c>
      <c r="B29" s="7" t="s">
        <v>81</v>
      </c>
    </row>
    <row r="30" ht="15.0" customHeight="1">
      <c r="A30" s="6" t="s">
        <v>83</v>
      </c>
      <c r="B30" s="7" t="s">
        <v>84</v>
      </c>
    </row>
    <row r="31" ht="15.0" customHeight="1">
      <c r="A31" s="6" t="s">
        <v>86</v>
      </c>
      <c r="B31" s="7" t="s">
        <v>87</v>
      </c>
    </row>
    <row r="32" ht="15.0" customHeight="1">
      <c r="A32" s="6" t="s">
        <v>89</v>
      </c>
      <c r="B32" s="7" t="s">
        <v>90</v>
      </c>
    </row>
    <row r="33" ht="15.75" customHeight="1"/>
    <row r="34" ht="15.75" customHeight="1">
      <c r="A34" s="3" t="s">
        <v>92</v>
      </c>
      <c r="B34" s="2"/>
    </row>
    <row r="35" ht="25.5" customHeight="1">
      <c r="A35" s="6" t="s">
        <v>94</v>
      </c>
      <c r="B35" s="7" t="s">
        <v>95</v>
      </c>
    </row>
    <row r="36" ht="15.0" customHeight="1">
      <c r="A36" s="6" t="s">
        <v>96</v>
      </c>
      <c r="B36" s="7" t="s">
        <v>97</v>
      </c>
    </row>
    <row r="37" ht="25.5" customHeight="1">
      <c r="A37" s="6" t="s">
        <v>98</v>
      </c>
      <c r="B37" s="7" t="s">
        <v>99</v>
      </c>
    </row>
    <row r="38" ht="15.75" customHeight="1"/>
    <row r="39" ht="15.75" customHeight="1">
      <c r="A39" s="3" t="s">
        <v>100</v>
      </c>
      <c r="B39" s="2"/>
    </row>
    <row r="40" ht="15.0" customHeight="1">
      <c r="A40" s="6" t="s">
        <v>103</v>
      </c>
      <c r="B40" s="7" t="s">
        <v>104</v>
      </c>
    </row>
    <row r="41" ht="15.0" customHeight="1">
      <c r="A41" s="6" t="s">
        <v>106</v>
      </c>
      <c r="B41" s="7" t="s">
        <v>107</v>
      </c>
    </row>
    <row r="42" ht="15.0" customHeight="1">
      <c r="A42" s="6" t="s">
        <v>110</v>
      </c>
      <c r="B42" s="7" t="s">
        <v>111</v>
      </c>
    </row>
    <row r="43" ht="15.0" customHeight="1">
      <c r="A43" s="6" t="s">
        <v>113</v>
      </c>
      <c r="B43" s="7" t="s">
        <v>115</v>
      </c>
    </row>
    <row r="44" ht="15.0" customHeight="1">
      <c r="A44" s="6" t="s">
        <v>116</v>
      </c>
      <c r="B44" s="7" t="s">
        <v>117</v>
      </c>
    </row>
    <row r="45" ht="15.0" customHeight="1">
      <c r="A45" s="6" t="s">
        <v>119</v>
      </c>
      <c r="B45" s="7" t="s">
        <v>121</v>
      </c>
    </row>
    <row r="46" ht="15.0" customHeight="1">
      <c r="A46" s="6" t="s">
        <v>123</v>
      </c>
      <c r="B46" s="7" t="s">
        <v>125</v>
      </c>
    </row>
    <row r="47" ht="15.0" customHeight="1">
      <c r="A47" s="6" t="s">
        <v>126</v>
      </c>
      <c r="B47" s="7" t="s">
        <v>128</v>
      </c>
    </row>
    <row r="48" ht="15.0" customHeight="1">
      <c r="A48" s="6" t="s">
        <v>129</v>
      </c>
      <c r="B48" s="7" t="s">
        <v>130</v>
      </c>
    </row>
    <row r="49" ht="15.75" customHeight="1"/>
    <row r="50" ht="15.75" customHeight="1">
      <c r="A50" s="3" t="s">
        <v>131</v>
      </c>
      <c r="B50" s="2"/>
    </row>
    <row r="51" ht="25.5" customHeight="1">
      <c r="A51" s="6" t="s">
        <v>134</v>
      </c>
      <c r="B51" s="7" t="s">
        <v>136</v>
      </c>
    </row>
    <row r="52" ht="25.5" customHeight="1">
      <c r="A52" s="6" t="s">
        <v>137</v>
      </c>
      <c r="B52" s="7" t="s">
        <v>139</v>
      </c>
    </row>
    <row r="53" ht="15.0" customHeight="1">
      <c r="A53" s="6" t="s">
        <v>142</v>
      </c>
      <c r="B53" s="7" t="s">
        <v>145</v>
      </c>
    </row>
    <row r="54" ht="25.5" customHeight="1">
      <c r="A54" s="6" t="s">
        <v>146</v>
      </c>
      <c r="B54" s="7" t="s">
        <v>149</v>
      </c>
    </row>
    <row r="55" ht="15.0" customHeight="1">
      <c r="A55" s="6" t="s">
        <v>152</v>
      </c>
      <c r="B55" s="7" t="s">
        <v>154</v>
      </c>
    </row>
    <row r="56" ht="15.0" customHeight="1">
      <c r="A56" s="6" t="s">
        <v>156</v>
      </c>
      <c r="B56" s="7" t="s">
        <v>157</v>
      </c>
    </row>
    <row r="57" ht="25.5" customHeight="1">
      <c r="A57" s="6" t="s">
        <v>158</v>
      </c>
      <c r="B57" s="7" t="s">
        <v>160</v>
      </c>
    </row>
    <row r="58" ht="15.0" customHeight="1">
      <c r="A58" s="6" t="s">
        <v>162</v>
      </c>
      <c r="B58" s="7" t="s">
        <v>166</v>
      </c>
    </row>
    <row r="59" ht="15.75" customHeight="1"/>
    <row r="60" ht="15.75" customHeight="1">
      <c r="A60" s="3" t="s">
        <v>170</v>
      </c>
      <c r="B60" s="2"/>
    </row>
    <row r="61" ht="15.0" customHeight="1">
      <c r="A61" s="6" t="s">
        <v>165</v>
      </c>
      <c r="B61" s="7" t="s">
        <v>172</v>
      </c>
    </row>
    <row r="62" ht="15.0" customHeight="1">
      <c r="A62" s="6" t="s">
        <v>112</v>
      </c>
      <c r="B62" s="7" t="s">
        <v>173</v>
      </c>
    </row>
    <row r="63" ht="15.0" customHeight="1">
      <c r="A63" s="6" t="s">
        <v>174</v>
      </c>
      <c r="B63" s="7" t="s">
        <v>175</v>
      </c>
    </row>
    <row r="64" ht="15.0" customHeight="1">
      <c r="A64" s="6" t="s">
        <v>176</v>
      </c>
      <c r="B64" s="7" t="s">
        <v>178</v>
      </c>
    </row>
    <row r="65" ht="15.0" customHeight="1">
      <c r="A65" s="6" t="s">
        <v>179</v>
      </c>
      <c r="B65" s="7" t="s">
        <v>180</v>
      </c>
    </row>
    <row r="66" ht="15.0" customHeight="1">
      <c r="A66" s="6" t="s">
        <v>181</v>
      </c>
      <c r="B66" s="7" t="s">
        <v>182</v>
      </c>
    </row>
    <row r="67" ht="15.0" customHeight="1">
      <c r="A67" s="6" t="s">
        <v>183</v>
      </c>
      <c r="B67" s="7" t="s">
        <v>184</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50:B50"/>
    <mergeCell ref="A60:B60"/>
    <mergeCell ref="A1:B1"/>
    <mergeCell ref="A4:B4"/>
    <mergeCell ref="A13:B13"/>
    <mergeCell ref="A19:B19"/>
    <mergeCell ref="A27:B27"/>
    <mergeCell ref="A34:B34"/>
    <mergeCell ref="A39:B3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46.0"/>
    <col customWidth="1" min="4" max="4" width="52.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2.0"/>
    <col customWidth="1" min="15" max="36" width="4.14"/>
  </cols>
  <sheetData>
    <row r="1" ht="21.75" customHeight="1">
      <c r="A1" s="3" t="s">
        <v>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8" t="s">
        <v>16</v>
      </c>
      <c r="B2" s="8" t="s">
        <v>22</v>
      </c>
      <c r="C2" s="8" t="s">
        <v>23</v>
      </c>
      <c r="D2" s="8" t="s">
        <v>25</v>
      </c>
      <c r="E2" s="8" t="s">
        <v>27</v>
      </c>
      <c r="F2" s="8" t="s">
        <v>29</v>
      </c>
      <c r="G2" s="8" t="s">
        <v>31</v>
      </c>
      <c r="H2" s="8" t="s">
        <v>32</v>
      </c>
      <c r="I2" s="8" t="s">
        <v>35</v>
      </c>
      <c r="J2" s="8" t="s">
        <v>37</v>
      </c>
      <c r="K2" s="8" t="s">
        <v>39</v>
      </c>
      <c r="L2" s="8" t="s">
        <v>40</v>
      </c>
      <c r="M2" s="8" t="s">
        <v>42</v>
      </c>
      <c r="N2" s="8" t="s">
        <v>43</v>
      </c>
      <c r="O2" s="8" t="s">
        <v>44</v>
      </c>
      <c r="P2" s="8" t="s">
        <v>45</v>
      </c>
      <c r="Q2" s="8" t="s">
        <v>46</v>
      </c>
      <c r="R2" s="8" t="s">
        <v>48</v>
      </c>
      <c r="S2" s="8" t="s">
        <v>50</v>
      </c>
      <c r="T2" s="8" t="s">
        <v>51</v>
      </c>
      <c r="U2" s="8" t="s">
        <v>54</v>
      </c>
      <c r="V2" s="8" t="s">
        <v>56</v>
      </c>
      <c r="W2" s="8" t="s">
        <v>58</v>
      </c>
      <c r="X2" s="8" t="s">
        <v>59</v>
      </c>
      <c r="Y2" s="8" t="s">
        <v>62</v>
      </c>
      <c r="Z2" s="8" t="s">
        <v>63</v>
      </c>
      <c r="AA2" s="8" t="s">
        <v>65</v>
      </c>
      <c r="AB2" s="8" t="s">
        <v>69</v>
      </c>
      <c r="AC2" s="8" t="s">
        <v>71</v>
      </c>
      <c r="AD2" s="8" t="s">
        <v>72</v>
      </c>
      <c r="AE2" s="8" t="s">
        <v>73</v>
      </c>
      <c r="AF2" s="8" t="s">
        <v>74</v>
      </c>
      <c r="AG2" s="8" t="s">
        <v>76</v>
      </c>
      <c r="AH2" s="8" t="s">
        <v>78</v>
      </c>
      <c r="AI2" s="8" t="s">
        <v>80</v>
      </c>
      <c r="AJ2" s="8" t="s">
        <v>82</v>
      </c>
    </row>
    <row r="3" ht="51.75" customHeight="1">
      <c r="A3" s="9" t="s">
        <v>85</v>
      </c>
      <c r="B3" s="10" t="s">
        <v>88</v>
      </c>
      <c r="C3" s="11" t="s">
        <v>91</v>
      </c>
      <c r="D3" s="11" t="s">
        <v>93</v>
      </c>
      <c r="E3" s="12" t="s">
        <v>53</v>
      </c>
      <c r="F3" s="13" t="s">
        <v>44</v>
      </c>
      <c r="G3" s="13" t="s">
        <v>101</v>
      </c>
      <c r="H3" s="13" t="s">
        <v>102</v>
      </c>
      <c r="I3" s="13" t="s">
        <v>105</v>
      </c>
      <c r="J3" s="13" t="s">
        <v>108</v>
      </c>
      <c r="K3" s="13" t="s">
        <v>109</v>
      </c>
      <c r="L3" s="10"/>
      <c r="M3" s="13" t="s">
        <v>112</v>
      </c>
      <c r="N3" s="11" t="s">
        <v>114</v>
      </c>
      <c r="O3" s="14"/>
      <c r="P3" s="15"/>
      <c r="Q3" s="15"/>
      <c r="R3" s="15"/>
      <c r="S3" s="15"/>
      <c r="T3" s="15"/>
      <c r="U3" s="15"/>
      <c r="V3" s="15"/>
      <c r="W3" s="15"/>
      <c r="X3" s="15"/>
      <c r="Y3" s="15"/>
      <c r="Z3" s="15"/>
      <c r="AA3" s="15"/>
      <c r="AB3" s="15"/>
      <c r="AC3" s="15"/>
      <c r="AD3" s="15"/>
      <c r="AE3" s="15"/>
      <c r="AF3" s="15"/>
      <c r="AG3" s="15"/>
      <c r="AH3" s="15"/>
      <c r="AI3" s="15"/>
      <c r="AJ3" s="15"/>
    </row>
    <row r="4" ht="51.75" customHeight="1">
      <c r="A4" s="9" t="s">
        <v>132</v>
      </c>
      <c r="B4" s="10" t="s">
        <v>88</v>
      </c>
      <c r="C4" s="11" t="s">
        <v>133</v>
      </c>
      <c r="D4" s="11" t="s">
        <v>135</v>
      </c>
      <c r="E4" s="10" t="s">
        <v>140</v>
      </c>
      <c r="F4" s="13" t="s">
        <v>141</v>
      </c>
      <c r="G4" s="13" t="s">
        <v>101</v>
      </c>
      <c r="H4" s="13" t="s">
        <v>143</v>
      </c>
      <c r="I4" s="13" t="s">
        <v>105</v>
      </c>
      <c r="J4" s="13" t="s">
        <v>148</v>
      </c>
      <c r="K4" s="13" t="s">
        <v>150</v>
      </c>
      <c r="L4" s="10" t="s">
        <v>85</v>
      </c>
      <c r="M4" s="13" t="s">
        <v>112</v>
      </c>
      <c r="N4" s="11" t="s">
        <v>155</v>
      </c>
      <c r="O4" s="14"/>
      <c r="P4" s="14"/>
      <c r="Q4" s="15"/>
      <c r="R4" s="15"/>
      <c r="S4" s="15"/>
      <c r="T4" s="15"/>
      <c r="U4" s="15"/>
      <c r="V4" s="15"/>
      <c r="W4" s="15"/>
      <c r="X4" s="15"/>
      <c r="Y4" s="15"/>
      <c r="Z4" s="15"/>
      <c r="AA4" s="15"/>
      <c r="AB4" s="15"/>
      <c r="AC4" s="15"/>
      <c r="AD4" s="15"/>
      <c r="AE4" s="15"/>
      <c r="AF4" s="15"/>
      <c r="AG4" s="15"/>
      <c r="AH4" s="15"/>
      <c r="AI4" s="15"/>
      <c r="AJ4" s="15"/>
    </row>
    <row r="5" ht="64.5" customHeight="1">
      <c r="A5" s="9" t="s">
        <v>164</v>
      </c>
      <c r="B5" s="10" t="s">
        <v>167</v>
      </c>
      <c r="C5" s="11" t="s">
        <v>168</v>
      </c>
      <c r="D5" s="11" t="s">
        <v>171</v>
      </c>
      <c r="E5" s="10" t="s">
        <v>140</v>
      </c>
      <c r="F5" s="13" t="s">
        <v>144</v>
      </c>
      <c r="G5" s="13" t="s">
        <v>147</v>
      </c>
      <c r="H5" s="13" t="s">
        <v>151</v>
      </c>
      <c r="I5" s="13" t="s">
        <v>105</v>
      </c>
      <c r="J5" s="13" t="s">
        <v>148</v>
      </c>
      <c r="K5" s="13" t="s">
        <v>150</v>
      </c>
      <c r="L5" s="10" t="s">
        <v>132</v>
      </c>
      <c r="M5" s="13" t="s">
        <v>112</v>
      </c>
      <c r="N5" s="11" t="s">
        <v>177</v>
      </c>
      <c r="O5" s="15"/>
      <c r="P5" s="14"/>
      <c r="Q5" s="14"/>
      <c r="R5" s="15"/>
      <c r="S5" s="15"/>
      <c r="T5" s="15"/>
      <c r="U5" s="15"/>
      <c r="V5" s="15"/>
      <c r="W5" s="15"/>
      <c r="X5" s="15"/>
      <c r="Y5" s="15"/>
      <c r="Z5" s="15"/>
      <c r="AA5" s="15"/>
      <c r="AB5" s="15"/>
      <c r="AC5" s="15"/>
      <c r="AD5" s="15"/>
      <c r="AE5" s="15"/>
      <c r="AF5" s="15"/>
      <c r="AG5" s="15"/>
      <c r="AH5" s="15"/>
      <c r="AI5" s="15"/>
      <c r="AJ5" s="15"/>
    </row>
    <row r="6" ht="51.75" customHeight="1">
      <c r="A6" s="9" t="s">
        <v>185</v>
      </c>
      <c r="B6" s="10" t="s">
        <v>88</v>
      </c>
      <c r="C6" s="11" t="s">
        <v>186</v>
      </c>
      <c r="D6" s="11" t="s">
        <v>188</v>
      </c>
      <c r="E6" s="10" t="s">
        <v>140</v>
      </c>
      <c r="F6" s="13" t="s">
        <v>141</v>
      </c>
      <c r="G6" s="13" t="s">
        <v>101</v>
      </c>
      <c r="H6" s="13" t="s">
        <v>143</v>
      </c>
      <c r="I6" s="13" t="s">
        <v>105</v>
      </c>
      <c r="J6" s="13" t="s">
        <v>148</v>
      </c>
      <c r="K6" s="13" t="s">
        <v>150</v>
      </c>
      <c r="L6" s="10"/>
      <c r="M6" s="13" t="s">
        <v>165</v>
      </c>
      <c r="N6" s="11" t="s">
        <v>192</v>
      </c>
      <c r="O6" s="14"/>
      <c r="P6" s="14"/>
      <c r="Q6" s="15"/>
      <c r="R6" s="15"/>
      <c r="S6" s="15"/>
      <c r="T6" s="15"/>
      <c r="U6" s="15"/>
      <c r="V6" s="15"/>
      <c r="W6" s="15"/>
      <c r="X6" s="15"/>
      <c r="Y6" s="15"/>
      <c r="Z6" s="15"/>
      <c r="AA6" s="15"/>
      <c r="AB6" s="15"/>
      <c r="AC6" s="15"/>
      <c r="AD6" s="15"/>
      <c r="AE6" s="15"/>
      <c r="AF6" s="15"/>
      <c r="AG6" s="15"/>
      <c r="AH6" s="15"/>
      <c r="AI6" s="15"/>
      <c r="AJ6" s="15"/>
    </row>
    <row r="7" ht="64.5" customHeight="1">
      <c r="A7" s="9" t="s">
        <v>161</v>
      </c>
      <c r="B7" s="10" t="s">
        <v>88</v>
      </c>
      <c r="C7" s="11" t="s">
        <v>194</v>
      </c>
      <c r="D7" s="11" t="s">
        <v>195</v>
      </c>
      <c r="E7" s="10" t="s">
        <v>138</v>
      </c>
      <c r="F7" s="13" t="s">
        <v>141</v>
      </c>
      <c r="G7" s="13" t="s">
        <v>101</v>
      </c>
      <c r="H7" s="13" t="s">
        <v>143</v>
      </c>
      <c r="I7" s="13" t="s">
        <v>105</v>
      </c>
      <c r="J7" s="13" t="s">
        <v>148</v>
      </c>
      <c r="K7" s="13" t="s">
        <v>150</v>
      </c>
      <c r="L7" s="10" t="s">
        <v>185</v>
      </c>
      <c r="M7" s="13" t="s">
        <v>112</v>
      </c>
      <c r="N7" s="11" t="s">
        <v>198</v>
      </c>
      <c r="O7" s="14"/>
      <c r="P7" s="14"/>
      <c r="Q7" s="15"/>
      <c r="R7" s="15"/>
      <c r="S7" s="15"/>
      <c r="T7" s="15"/>
      <c r="U7" s="15"/>
      <c r="V7" s="15"/>
      <c r="W7" s="15"/>
      <c r="X7" s="15"/>
      <c r="Y7" s="15"/>
      <c r="Z7" s="15"/>
      <c r="AA7" s="15"/>
      <c r="AB7" s="15"/>
      <c r="AC7" s="15"/>
      <c r="AD7" s="15"/>
      <c r="AE7" s="15"/>
      <c r="AF7" s="15"/>
      <c r="AG7" s="15"/>
      <c r="AH7" s="15"/>
      <c r="AI7" s="15"/>
      <c r="AJ7" s="15"/>
    </row>
    <row r="8" ht="27.75" customHeight="1">
      <c r="A8" s="9" t="s">
        <v>202</v>
      </c>
      <c r="B8" s="10" t="s">
        <v>88</v>
      </c>
      <c r="C8" s="11" t="s">
        <v>204</v>
      </c>
      <c r="D8" s="11" t="s">
        <v>206</v>
      </c>
      <c r="E8" s="10" t="s">
        <v>207</v>
      </c>
      <c r="F8" s="13" t="s">
        <v>44</v>
      </c>
      <c r="G8" s="13" t="s">
        <v>101</v>
      </c>
      <c r="H8" s="13" t="s">
        <v>102</v>
      </c>
      <c r="I8" s="13" t="s">
        <v>105</v>
      </c>
      <c r="J8" s="13" t="s">
        <v>148</v>
      </c>
      <c r="K8" s="13" t="s">
        <v>150</v>
      </c>
      <c r="L8" s="10"/>
      <c r="M8" s="13" t="s">
        <v>165</v>
      </c>
      <c r="N8" s="11" t="s">
        <v>211</v>
      </c>
      <c r="O8" s="14"/>
      <c r="P8" s="15"/>
      <c r="Q8" s="15"/>
      <c r="R8" s="15"/>
      <c r="S8" s="15"/>
      <c r="T8" s="15"/>
      <c r="U8" s="15"/>
      <c r="V8" s="15"/>
      <c r="W8" s="15"/>
      <c r="X8" s="15"/>
      <c r="Y8" s="15"/>
      <c r="Z8" s="15"/>
      <c r="AA8" s="15"/>
      <c r="AB8" s="15"/>
      <c r="AC8" s="15"/>
      <c r="AD8" s="15"/>
      <c r="AE8" s="15"/>
      <c r="AF8" s="15"/>
      <c r="AG8" s="15"/>
      <c r="AH8" s="15"/>
      <c r="AI8" s="15"/>
      <c r="AJ8" s="15"/>
    </row>
    <row r="9" ht="51.75" customHeight="1">
      <c r="A9" s="9" t="s">
        <v>212</v>
      </c>
      <c r="B9" s="10" t="s">
        <v>214</v>
      </c>
      <c r="C9" s="11" t="s">
        <v>215</v>
      </c>
      <c r="D9" s="11" t="s">
        <v>216</v>
      </c>
      <c r="E9" s="10" t="s">
        <v>207</v>
      </c>
      <c r="F9" s="13" t="s">
        <v>46</v>
      </c>
      <c r="G9" s="13" t="s">
        <v>193</v>
      </c>
      <c r="H9" s="13" t="s">
        <v>151</v>
      </c>
      <c r="I9" s="13" t="s">
        <v>105</v>
      </c>
      <c r="J9" s="13" t="s">
        <v>148</v>
      </c>
      <c r="K9" s="13" t="s">
        <v>150</v>
      </c>
      <c r="L9" s="10" t="s">
        <v>164</v>
      </c>
      <c r="M9" s="13" t="s">
        <v>112</v>
      </c>
      <c r="N9" s="11" t="s">
        <v>219</v>
      </c>
      <c r="O9" s="15"/>
      <c r="P9" s="15"/>
      <c r="Q9" s="14"/>
      <c r="R9" s="15"/>
      <c r="S9" s="15"/>
      <c r="T9" s="15"/>
      <c r="U9" s="15"/>
      <c r="V9" s="15"/>
      <c r="W9" s="15"/>
      <c r="X9" s="15"/>
      <c r="Y9" s="15"/>
      <c r="Z9" s="15"/>
      <c r="AA9" s="15"/>
      <c r="AB9" s="15"/>
      <c r="AC9" s="15"/>
      <c r="AD9" s="15"/>
      <c r="AE9" s="15"/>
      <c r="AF9" s="15"/>
      <c r="AG9" s="15"/>
      <c r="AH9" s="15"/>
      <c r="AI9" s="15"/>
      <c r="AJ9" s="15"/>
    </row>
    <row r="10" ht="64.5" customHeight="1">
      <c r="A10" s="9" t="s">
        <v>226</v>
      </c>
      <c r="B10" s="10" t="s">
        <v>228</v>
      </c>
      <c r="C10" s="11" t="s">
        <v>229</v>
      </c>
      <c r="D10" s="11" t="s">
        <v>231</v>
      </c>
      <c r="E10" s="10" t="s">
        <v>138</v>
      </c>
      <c r="F10" s="13" t="s">
        <v>232</v>
      </c>
      <c r="G10" s="13" t="s">
        <v>147</v>
      </c>
      <c r="H10" s="13" t="s">
        <v>233</v>
      </c>
      <c r="I10" s="13" t="s">
        <v>105</v>
      </c>
      <c r="J10" s="13" t="s">
        <v>148</v>
      </c>
      <c r="K10" s="13" t="s">
        <v>150</v>
      </c>
      <c r="L10" s="10" t="s">
        <v>161</v>
      </c>
      <c r="M10" s="13" t="s">
        <v>112</v>
      </c>
      <c r="N10" s="11" t="s">
        <v>236</v>
      </c>
      <c r="O10" s="15"/>
      <c r="P10" s="14"/>
      <c r="Q10" s="14"/>
      <c r="R10" s="14"/>
      <c r="S10" s="15"/>
      <c r="T10" s="15"/>
      <c r="U10" s="15"/>
      <c r="V10" s="15"/>
      <c r="W10" s="15"/>
      <c r="X10" s="15"/>
      <c r="Y10" s="15"/>
      <c r="Z10" s="15"/>
      <c r="AA10" s="15"/>
      <c r="AB10" s="15"/>
      <c r="AC10" s="15"/>
      <c r="AD10" s="15"/>
      <c r="AE10" s="15"/>
      <c r="AF10" s="15"/>
      <c r="AG10" s="15"/>
      <c r="AH10" s="15"/>
      <c r="AI10" s="15"/>
      <c r="AJ10" s="15"/>
    </row>
    <row r="11" ht="64.5" customHeight="1">
      <c r="A11" s="9" t="s">
        <v>242</v>
      </c>
      <c r="B11" s="10" t="s">
        <v>228</v>
      </c>
      <c r="C11" s="11" t="s">
        <v>243</v>
      </c>
      <c r="D11" s="11" t="s">
        <v>245</v>
      </c>
      <c r="E11" s="10" t="s">
        <v>66</v>
      </c>
      <c r="F11" s="13" t="s">
        <v>246</v>
      </c>
      <c r="G11" s="13" t="s">
        <v>193</v>
      </c>
      <c r="H11" s="13" t="s">
        <v>233</v>
      </c>
      <c r="I11" s="13" t="s">
        <v>105</v>
      </c>
      <c r="J11" s="13" t="s">
        <v>148</v>
      </c>
      <c r="K11" s="13" t="s">
        <v>150</v>
      </c>
      <c r="L11" s="10" t="s">
        <v>185</v>
      </c>
      <c r="M11" s="13" t="s">
        <v>112</v>
      </c>
      <c r="N11" s="11" t="s">
        <v>247</v>
      </c>
      <c r="O11" s="15"/>
      <c r="P11" s="15"/>
      <c r="Q11" s="14"/>
      <c r="R11" s="14"/>
      <c r="S11" s="15"/>
      <c r="T11" s="15"/>
      <c r="U11" s="15"/>
      <c r="V11" s="15"/>
      <c r="W11" s="15"/>
      <c r="X11" s="15"/>
      <c r="Y11" s="15"/>
      <c r="Z11" s="15"/>
      <c r="AA11" s="15"/>
      <c r="AB11" s="15"/>
      <c r="AC11" s="15"/>
      <c r="AD11" s="15"/>
      <c r="AE11" s="15"/>
      <c r="AF11" s="15"/>
      <c r="AG11" s="15"/>
      <c r="AH11" s="15"/>
      <c r="AI11" s="15"/>
      <c r="AJ11" s="15"/>
    </row>
    <row r="12" ht="51.75" customHeight="1">
      <c r="A12" s="9" t="s">
        <v>253</v>
      </c>
      <c r="B12" s="10" t="s">
        <v>228</v>
      </c>
      <c r="C12" s="11" t="s">
        <v>255</v>
      </c>
      <c r="D12" s="11" t="s">
        <v>257</v>
      </c>
      <c r="E12" s="10" t="s">
        <v>66</v>
      </c>
      <c r="F12" s="13" t="s">
        <v>48</v>
      </c>
      <c r="G12" s="13" t="s">
        <v>209</v>
      </c>
      <c r="H12" s="13" t="s">
        <v>233</v>
      </c>
      <c r="I12" s="13" t="s">
        <v>260</v>
      </c>
      <c r="J12" s="13" t="s">
        <v>148</v>
      </c>
      <c r="K12" s="13" t="s">
        <v>150</v>
      </c>
      <c r="L12" s="10" t="s">
        <v>242</v>
      </c>
      <c r="M12" s="13" t="s">
        <v>112</v>
      </c>
      <c r="N12" s="11" t="s">
        <v>261</v>
      </c>
      <c r="O12" s="15"/>
      <c r="P12" s="15"/>
      <c r="Q12" s="15"/>
      <c r="R12" s="14"/>
      <c r="S12" s="15"/>
      <c r="T12" s="15"/>
      <c r="U12" s="15"/>
      <c r="V12" s="15"/>
      <c r="W12" s="15"/>
      <c r="X12" s="15"/>
      <c r="Y12" s="15"/>
      <c r="Z12" s="15"/>
      <c r="AA12" s="15"/>
      <c r="AB12" s="15"/>
      <c r="AC12" s="15"/>
      <c r="AD12" s="15"/>
      <c r="AE12" s="15"/>
      <c r="AF12" s="15"/>
      <c r="AG12" s="15"/>
      <c r="AH12" s="15"/>
      <c r="AI12" s="15"/>
      <c r="AJ12" s="15"/>
    </row>
    <row r="13" ht="51.75" customHeight="1">
      <c r="A13" s="9" t="s">
        <v>265</v>
      </c>
      <c r="B13" s="10" t="s">
        <v>214</v>
      </c>
      <c r="C13" s="11" t="s">
        <v>267</v>
      </c>
      <c r="D13" s="11" t="s">
        <v>268</v>
      </c>
      <c r="E13" s="10" t="s">
        <v>207</v>
      </c>
      <c r="F13" s="13" t="s">
        <v>208</v>
      </c>
      <c r="G13" s="13" t="s">
        <v>209</v>
      </c>
      <c r="H13" s="13" t="s">
        <v>210</v>
      </c>
      <c r="I13" s="13" t="s">
        <v>105</v>
      </c>
      <c r="J13" s="13" t="s">
        <v>148</v>
      </c>
      <c r="K13" s="13" t="s">
        <v>150</v>
      </c>
      <c r="L13" s="10" t="s">
        <v>164</v>
      </c>
      <c r="M13" s="13" t="s">
        <v>112</v>
      </c>
      <c r="N13" s="11" t="s">
        <v>273</v>
      </c>
      <c r="O13" s="15"/>
      <c r="P13" s="15"/>
      <c r="Q13" s="15"/>
      <c r="R13" s="14"/>
      <c r="S13" s="14"/>
      <c r="T13" s="15"/>
      <c r="U13" s="15"/>
      <c r="V13" s="15"/>
      <c r="W13" s="15"/>
      <c r="X13" s="15"/>
      <c r="Y13" s="15"/>
      <c r="Z13" s="15"/>
      <c r="AA13" s="15"/>
      <c r="AB13" s="15"/>
      <c r="AC13" s="15"/>
      <c r="AD13" s="15"/>
      <c r="AE13" s="15"/>
      <c r="AF13" s="15"/>
      <c r="AG13" s="15"/>
      <c r="AH13" s="15"/>
      <c r="AI13" s="15"/>
      <c r="AJ13" s="15"/>
    </row>
    <row r="14" ht="39.0" customHeight="1">
      <c r="A14" s="9" t="s">
        <v>276</v>
      </c>
      <c r="B14" s="10" t="s">
        <v>214</v>
      </c>
      <c r="C14" s="11" t="s">
        <v>280</v>
      </c>
      <c r="D14" s="11" t="s">
        <v>281</v>
      </c>
      <c r="E14" s="10" t="s">
        <v>140</v>
      </c>
      <c r="F14" s="13" t="s">
        <v>208</v>
      </c>
      <c r="G14" s="13" t="s">
        <v>209</v>
      </c>
      <c r="H14" s="13" t="s">
        <v>210</v>
      </c>
      <c r="I14" s="13" t="s">
        <v>105</v>
      </c>
      <c r="J14" s="13" t="s">
        <v>148</v>
      </c>
      <c r="K14" s="13" t="s">
        <v>150</v>
      </c>
      <c r="L14" s="10" t="s">
        <v>164</v>
      </c>
      <c r="M14" s="13" t="s">
        <v>112</v>
      </c>
      <c r="N14" s="11" t="s">
        <v>284</v>
      </c>
      <c r="O14" s="15"/>
      <c r="P14" s="15"/>
      <c r="Q14" s="15"/>
      <c r="R14" s="14"/>
      <c r="S14" s="14"/>
      <c r="T14" s="15"/>
      <c r="U14" s="15"/>
      <c r="V14" s="15"/>
      <c r="W14" s="15"/>
      <c r="X14" s="15"/>
      <c r="Y14" s="15"/>
      <c r="Z14" s="15"/>
      <c r="AA14" s="15"/>
      <c r="AB14" s="15"/>
      <c r="AC14" s="15"/>
      <c r="AD14" s="15"/>
      <c r="AE14" s="15"/>
      <c r="AF14" s="15"/>
      <c r="AG14" s="15"/>
      <c r="AH14" s="15"/>
      <c r="AI14" s="15"/>
      <c r="AJ14" s="15"/>
    </row>
    <row r="15" ht="51.75" customHeight="1">
      <c r="A15" s="9" t="s">
        <v>287</v>
      </c>
      <c r="B15" s="10" t="s">
        <v>214</v>
      </c>
      <c r="C15" s="11" t="s">
        <v>291</v>
      </c>
      <c r="D15" s="11" t="s">
        <v>292</v>
      </c>
      <c r="E15" s="10" t="s">
        <v>140</v>
      </c>
      <c r="F15" s="13" t="s">
        <v>50</v>
      </c>
      <c r="G15" s="13" t="s">
        <v>223</v>
      </c>
      <c r="H15" s="13" t="s">
        <v>210</v>
      </c>
      <c r="I15" s="13" t="s">
        <v>105</v>
      </c>
      <c r="J15" s="13" t="s">
        <v>148</v>
      </c>
      <c r="K15" s="13" t="s">
        <v>150</v>
      </c>
      <c r="L15" s="10" t="s">
        <v>276</v>
      </c>
      <c r="M15" s="13" t="s">
        <v>112</v>
      </c>
      <c r="N15" s="11" t="s">
        <v>296</v>
      </c>
      <c r="O15" s="15"/>
      <c r="P15" s="15"/>
      <c r="Q15" s="15"/>
      <c r="R15" s="15"/>
      <c r="S15" s="14"/>
      <c r="T15" s="15"/>
      <c r="U15" s="15"/>
      <c r="V15" s="15"/>
      <c r="W15" s="15"/>
      <c r="X15" s="15"/>
      <c r="Y15" s="15"/>
      <c r="Z15" s="15"/>
      <c r="AA15" s="15"/>
      <c r="AB15" s="15"/>
      <c r="AC15" s="15"/>
      <c r="AD15" s="15"/>
      <c r="AE15" s="15"/>
      <c r="AF15" s="15"/>
      <c r="AG15" s="15"/>
      <c r="AH15" s="15"/>
      <c r="AI15" s="15"/>
      <c r="AJ15" s="15"/>
    </row>
    <row r="16" ht="27.75" customHeight="1">
      <c r="A16" s="9" t="s">
        <v>298</v>
      </c>
      <c r="B16" s="10" t="s">
        <v>214</v>
      </c>
      <c r="C16" s="11" t="s">
        <v>300</v>
      </c>
      <c r="D16" s="11" t="s">
        <v>301</v>
      </c>
      <c r="E16" s="10" t="s">
        <v>207</v>
      </c>
      <c r="F16" s="13" t="s">
        <v>304</v>
      </c>
      <c r="G16" s="13" t="s">
        <v>223</v>
      </c>
      <c r="H16" s="13" t="s">
        <v>254</v>
      </c>
      <c r="I16" s="13" t="s">
        <v>105</v>
      </c>
      <c r="J16" s="13" t="s">
        <v>148</v>
      </c>
      <c r="K16" s="13" t="s">
        <v>150</v>
      </c>
      <c r="L16" s="10" t="s">
        <v>287</v>
      </c>
      <c r="M16" s="13" t="s">
        <v>165</v>
      </c>
      <c r="N16" s="11" t="s">
        <v>307</v>
      </c>
      <c r="O16" s="15"/>
      <c r="P16" s="15"/>
      <c r="Q16" s="15"/>
      <c r="R16" s="15"/>
      <c r="S16" s="14"/>
      <c r="T16" s="14"/>
      <c r="U16" s="14"/>
      <c r="V16" s="14"/>
      <c r="W16" s="15"/>
      <c r="X16" s="15"/>
      <c r="Y16" s="15"/>
      <c r="Z16" s="15"/>
      <c r="AA16" s="15"/>
      <c r="AB16" s="15"/>
      <c r="AC16" s="15"/>
      <c r="AD16" s="15"/>
      <c r="AE16" s="15"/>
      <c r="AF16" s="15"/>
      <c r="AG16" s="15"/>
      <c r="AH16" s="15"/>
      <c r="AI16" s="15"/>
      <c r="AJ16" s="15"/>
    </row>
    <row r="17" ht="39.0" customHeight="1">
      <c r="A17" s="9" t="s">
        <v>310</v>
      </c>
      <c r="B17" s="10" t="s">
        <v>228</v>
      </c>
      <c r="C17" s="11" t="s">
        <v>312</v>
      </c>
      <c r="D17" s="11" t="s">
        <v>313</v>
      </c>
      <c r="E17" s="10" t="s">
        <v>138</v>
      </c>
      <c r="F17" s="13" t="s">
        <v>50</v>
      </c>
      <c r="G17" s="13" t="s">
        <v>223</v>
      </c>
      <c r="H17" s="13" t="s">
        <v>210</v>
      </c>
      <c r="I17" s="13" t="s">
        <v>105</v>
      </c>
      <c r="J17" s="13" t="s">
        <v>148</v>
      </c>
      <c r="K17" s="13" t="s">
        <v>150</v>
      </c>
      <c r="L17" s="10" t="s">
        <v>226</v>
      </c>
      <c r="M17" s="13" t="s">
        <v>112</v>
      </c>
      <c r="N17" s="11" t="s">
        <v>320</v>
      </c>
      <c r="O17" s="15"/>
      <c r="P17" s="15"/>
      <c r="Q17" s="15"/>
      <c r="R17" s="15"/>
      <c r="S17" s="14"/>
      <c r="T17" s="15"/>
      <c r="U17" s="15"/>
      <c r="V17" s="15"/>
      <c r="W17" s="15"/>
      <c r="X17" s="15"/>
      <c r="Y17" s="15"/>
      <c r="Z17" s="15"/>
      <c r="AA17" s="15"/>
      <c r="AB17" s="15"/>
      <c r="AC17" s="15"/>
      <c r="AD17" s="15"/>
      <c r="AE17" s="15"/>
      <c r="AF17" s="15"/>
      <c r="AG17" s="15"/>
      <c r="AH17" s="15"/>
      <c r="AI17" s="15"/>
      <c r="AJ17" s="15"/>
    </row>
    <row r="18" ht="39.0" customHeight="1">
      <c r="A18" s="9" t="s">
        <v>322</v>
      </c>
      <c r="B18" s="10" t="s">
        <v>228</v>
      </c>
      <c r="C18" s="11" t="s">
        <v>323</v>
      </c>
      <c r="D18" s="11" t="s">
        <v>324</v>
      </c>
      <c r="E18" s="10" t="s">
        <v>140</v>
      </c>
      <c r="F18" s="13" t="s">
        <v>238</v>
      </c>
      <c r="G18" s="13" t="s">
        <v>239</v>
      </c>
      <c r="H18" s="13" t="s">
        <v>240</v>
      </c>
      <c r="I18" s="13" t="s">
        <v>105</v>
      </c>
      <c r="J18" s="13" t="s">
        <v>148</v>
      </c>
      <c r="K18" s="13" t="s">
        <v>150</v>
      </c>
      <c r="L18" s="10" t="s">
        <v>242</v>
      </c>
      <c r="M18" s="13" t="s">
        <v>112</v>
      </c>
      <c r="N18" s="11" t="s">
        <v>329</v>
      </c>
      <c r="O18" s="15"/>
      <c r="P18" s="15"/>
      <c r="Q18" s="15"/>
      <c r="R18" s="15"/>
      <c r="S18" s="15"/>
      <c r="T18" s="14"/>
      <c r="U18" s="14"/>
      <c r="V18" s="15"/>
      <c r="W18" s="15"/>
      <c r="X18" s="15"/>
      <c r="Y18" s="15"/>
      <c r="Z18" s="15"/>
      <c r="AA18" s="15"/>
      <c r="AB18" s="15"/>
      <c r="AC18" s="15"/>
      <c r="AD18" s="15"/>
      <c r="AE18" s="15"/>
      <c r="AF18" s="15"/>
      <c r="AG18" s="15"/>
      <c r="AH18" s="15"/>
      <c r="AI18" s="15"/>
      <c r="AJ18" s="15"/>
    </row>
    <row r="19" ht="51.75" customHeight="1">
      <c r="A19" s="9" t="s">
        <v>332</v>
      </c>
      <c r="B19" s="10" t="s">
        <v>228</v>
      </c>
      <c r="C19" s="11" t="s">
        <v>334</v>
      </c>
      <c r="D19" s="11" t="s">
        <v>335</v>
      </c>
      <c r="E19" s="10" t="s">
        <v>140</v>
      </c>
      <c r="F19" s="13" t="s">
        <v>54</v>
      </c>
      <c r="G19" s="13" t="s">
        <v>252</v>
      </c>
      <c r="H19" s="13" t="s">
        <v>240</v>
      </c>
      <c r="I19" s="13" t="s">
        <v>105</v>
      </c>
      <c r="J19" s="13" t="s">
        <v>148</v>
      </c>
      <c r="K19" s="13" t="s">
        <v>150</v>
      </c>
      <c r="L19" s="10" t="s">
        <v>322</v>
      </c>
      <c r="M19" s="13" t="s">
        <v>112</v>
      </c>
      <c r="N19" s="11" t="s">
        <v>338</v>
      </c>
      <c r="O19" s="15"/>
      <c r="P19" s="15"/>
      <c r="Q19" s="15"/>
      <c r="R19" s="15"/>
      <c r="S19" s="15"/>
      <c r="T19" s="15"/>
      <c r="U19" s="14"/>
      <c r="V19" s="15"/>
      <c r="W19" s="15"/>
      <c r="X19" s="15"/>
      <c r="Y19" s="15"/>
      <c r="Z19" s="15"/>
      <c r="AA19" s="15"/>
      <c r="AB19" s="15"/>
      <c r="AC19" s="15"/>
      <c r="AD19" s="15"/>
      <c r="AE19" s="15"/>
      <c r="AF19" s="15"/>
      <c r="AG19" s="15"/>
      <c r="AH19" s="15"/>
      <c r="AI19" s="15"/>
      <c r="AJ19" s="15"/>
    </row>
    <row r="20" ht="51.75" customHeight="1">
      <c r="A20" s="9" t="s">
        <v>346</v>
      </c>
      <c r="B20" s="10" t="s">
        <v>347</v>
      </c>
      <c r="C20" s="11" t="s">
        <v>348</v>
      </c>
      <c r="D20" s="11" t="s">
        <v>349</v>
      </c>
      <c r="E20" s="10" t="s">
        <v>138</v>
      </c>
      <c r="F20" s="13" t="s">
        <v>330</v>
      </c>
      <c r="G20" s="13" t="s">
        <v>319</v>
      </c>
      <c r="H20" s="13" t="s">
        <v>331</v>
      </c>
      <c r="I20" s="13" t="s">
        <v>105</v>
      </c>
      <c r="J20" s="13" t="s">
        <v>148</v>
      </c>
      <c r="K20" s="13" t="s">
        <v>150</v>
      </c>
      <c r="L20" s="10" t="s">
        <v>326</v>
      </c>
      <c r="M20" s="13" t="s">
        <v>112</v>
      </c>
      <c r="N20" s="11" t="s">
        <v>352</v>
      </c>
      <c r="O20" s="15"/>
      <c r="P20" s="15"/>
      <c r="Q20" s="15"/>
      <c r="R20" s="15"/>
      <c r="S20" s="15"/>
      <c r="T20" s="15"/>
      <c r="U20" s="15"/>
      <c r="V20" s="15"/>
      <c r="W20" s="15"/>
      <c r="X20" s="14"/>
      <c r="Y20" s="14"/>
      <c r="Z20" s="15"/>
      <c r="AA20" s="15"/>
      <c r="AB20" s="15"/>
      <c r="AC20" s="15"/>
      <c r="AD20" s="15"/>
      <c r="AE20" s="15"/>
      <c r="AF20" s="15"/>
      <c r="AG20" s="15"/>
      <c r="AH20" s="15"/>
      <c r="AI20" s="15"/>
      <c r="AJ20" s="15"/>
    </row>
    <row r="21" ht="39.0" customHeight="1">
      <c r="A21" s="9" t="s">
        <v>356</v>
      </c>
      <c r="B21" s="10" t="s">
        <v>228</v>
      </c>
      <c r="C21" s="11" t="s">
        <v>357</v>
      </c>
      <c r="D21" s="11" t="s">
        <v>359</v>
      </c>
      <c r="E21" s="10" t="s">
        <v>207</v>
      </c>
      <c r="F21" s="13" t="s">
        <v>362</v>
      </c>
      <c r="G21" s="13" t="s">
        <v>269</v>
      </c>
      <c r="H21" s="13" t="s">
        <v>363</v>
      </c>
      <c r="I21" s="13" t="s">
        <v>105</v>
      </c>
      <c r="J21" s="13" t="s">
        <v>148</v>
      </c>
      <c r="K21" s="13" t="s">
        <v>150</v>
      </c>
      <c r="L21" s="10" t="s">
        <v>322</v>
      </c>
      <c r="M21" s="13" t="s">
        <v>112</v>
      </c>
      <c r="N21" s="11" t="s">
        <v>367</v>
      </c>
      <c r="O21" s="15"/>
      <c r="P21" s="15"/>
      <c r="Q21" s="15"/>
      <c r="R21" s="15"/>
      <c r="S21" s="15"/>
      <c r="T21" s="15"/>
      <c r="U21" s="15"/>
      <c r="V21" s="14"/>
      <c r="W21" s="14"/>
      <c r="X21" s="14"/>
      <c r="Y21" s="14"/>
      <c r="Z21" s="14"/>
      <c r="AA21" s="14"/>
      <c r="AB21" s="14"/>
      <c r="AC21" s="14"/>
      <c r="AD21" s="14"/>
      <c r="AE21" s="14"/>
      <c r="AF21" s="14"/>
      <c r="AG21" s="14"/>
      <c r="AH21" s="15"/>
      <c r="AI21" s="15"/>
      <c r="AJ21" s="15"/>
    </row>
    <row r="22" ht="27.75" customHeight="1">
      <c r="A22" s="9" t="s">
        <v>371</v>
      </c>
      <c r="B22" s="10" t="s">
        <v>228</v>
      </c>
      <c r="C22" s="11" t="s">
        <v>372</v>
      </c>
      <c r="D22" s="11" t="s">
        <v>375</v>
      </c>
      <c r="E22" s="10" t="s">
        <v>138</v>
      </c>
      <c r="F22" s="13" t="s">
        <v>69</v>
      </c>
      <c r="G22" s="13" t="s">
        <v>379</v>
      </c>
      <c r="H22" s="13" t="s">
        <v>377</v>
      </c>
      <c r="I22" s="13" t="s">
        <v>260</v>
      </c>
      <c r="J22" s="13" t="s">
        <v>148</v>
      </c>
      <c r="K22" s="13" t="s">
        <v>150</v>
      </c>
      <c r="L22" s="10" t="s">
        <v>310</v>
      </c>
      <c r="M22" s="13" t="s">
        <v>112</v>
      </c>
      <c r="N22" s="11" t="s">
        <v>382</v>
      </c>
      <c r="O22" s="15"/>
      <c r="P22" s="15"/>
      <c r="Q22" s="15"/>
      <c r="R22" s="15"/>
      <c r="S22" s="15"/>
      <c r="T22" s="15"/>
      <c r="U22" s="15"/>
      <c r="V22" s="15"/>
      <c r="W22" s="15"/>
      <c r="X22" s="15"/>
      <c r="Y22" s="15"/>
      <c r="Z22" s="15"/>
      <c r="AA22" s="15"/>
      <c r="AB22" s="14"/>
      <c r="AC22" s="15"/>
      <c r="AD22" s="15"/>
      <c r="AE22" s="15"/>
      <c r="AF22" s="15"/>
      <c r="AG22" s="15"/>
      <c r="AH22" s="15"/>
      <c r="AI22" s="15"/>
      <c r="AJ22" s="15"/>
    </row>
    <row r="23" ht="39.0" customHeight="1">
      <c r="A23" s="9" t="s">
        <v>385</v>
      </c>
      <c r="B23" s="10" t="s">
        <v>214</v>
      </c>
      <c r="C23" s="11" t="s">
        <v>388</v>
      </c>
      <c r="D23" s="11" t="s">
        <v>389</v>
      </c>
      <c r="E23" s="10" t="s">
        <v>140</v>
      </c>
      <c r="F23" s="13" t="s">
        <v>390</v>
      </c>
      <c r="G23" s="13" t="s">
        <v>391</v>
      </c>
      <c r="H23" s="13" t="s">
        <v>393</v>
      </c>
      <c r="I23" s="13" t="s">
        <v>105</v>
      </c>
      <c r="J23" s="13" t="s">
        <v>148</v>
      </c>
      <c r="K23" s="13" t="s">
        <v>150</v>
      </c>
      <c r="L23" s="10" t="s">
        <v>276</v>
      </c>
      <c r="M23" s="13" t="s">
        <v>112</v>
      </c>
      <c r="N23" s="11" t="s">
        <v>401</v>
      </c>
      <c r="O23" s="15"/>
      <c r="P23" s="15"/>
      <c r="Q23" s="15"/>
      <c r="R23" s="15"/>
      <c r="S23" s="15"/>
      <c r="T23" s="15"/>
      <c r="U23" s="15"/>
      <c r="V23" s="15"/>
      <c r="W23" s="15"/>
      <c r="X23" s="15"/>
      <c r="Y23" s="15"/>
      <c r="Z23" s="15"/>
      <c r="AA23" s="15"/>
      <c r="AB23" s="15"/>
      <c r="AC23" s="14"/>
      <c r="AD23" s="14"/>
      <c r="AE23" s="15"/>
      <c r="AF23" s="15"/>
      <c r="AG23" s="15"/>
      <c r="AH23" s="15"/>
      <c r="AI23" s="15"/>
      <c r="AJ23" s="15"/>
    </row>
    <row r="24" ht="51.75" customHeight="1">
      <c r="A24" s="9" t="s">
        <v>407</v>
      </c>
      <c r="B24" s="10" t="s">
        <v>408</v>
      </c>
      <c r="C24" s="11" t="s">
        <v>411</v>
      </c>
      <c r="D24" s="11" t="s">
        <v>414</v>
      </c>
      <c r="E24" s="10" t="s">
        <v>207</v>
      </c>
      <c r="F24" s="13" t="s">
        <v>416</v>
      </c>
      <c r="G24" s="13" t="s">
        <v>418</v>
      </c>
      <c r="H24" s="13" t="s">
        <v>400</v>
      </c>
      <c r="I24" s="13" t="s">
        <v>105</v>
      </c>
      <c r="J24" s="13" t="s">
        <v>148</v>
      </c>
      <c r="K24" s="13" t="s">
        <v>150</v>
      </c>
      <c r="L24" s="10" t="s">
        <v>422</v>
      </c>
      <c r="M24" s="13" t="s">
        <v>112</v>
      </c>
      <c r="N24" s="11" t="s">
        <v>424</v>
      </c>
      <c r="O24" s="15"/>
      <c r="P24" s="15"/>
      <c r="Q24" s="15"/>
      <c r="R24" s="15"/>
      <c r="S24" s="15"/>
      <c r="T24" s="15"/>
      <c r="U24" s="15"/>
      <c r="V24" s="15"/>
      <c r="W24" s="15"/>
      <c r="X24" s="15"/>
      <c r="Y24" s="15"/>
      <c r="Z24" s="15"/>
      <c r="AA24" s="15"/>
      <c r="AB24" s="15"/>
      <c r="AC24" s="15"/>
      <c r="AD24" s="15"/>
      <c r="AE24" s="15"/>
      <c r="AF24" s="15"/>
      <c r="AG24" s="14"/>
      <c r="AH24" s="14"/>
      <c r="AI24" s="15"/>
      <c r="AJ24" s="15"/>
    </row>
    <row r="25" ht="51.75" customHeight="1">
      <c r="A25" s="9" t="s">
        <v>433</v>
      </c>
      <c r="B25" s="10" t="s">
        <v>408</v>
      </c>
      <c r="C25" s="11" t="s">
        <v>435</v>
      </c>
      <c r="D25" s="11" t="s">
        <v>438</v>
      </c>
      <c r="E25" s="10" t="s">
        <v>66</v>
      </c>
      <c r="F25" s="13" t="s">
        <v>419</v>
      </c>
      <c r="G25" s="13" t="s">
        <v>420</v>
      </c>
      <c r="H25" s="13" t="s">
        <v>421</v>
      </c>
      <c r="I25" s="13" t="s">
        <v>260</v>
      </c>
      <c r="J25" s="13" t="s">
        <v>148</v>
      </c>
      <c r="K25" s="13" t="s">
        <v>150</v>
      </c>
      <c r="L25" s="10" t="s">
        <v>441</v>
      </c>
      <c r="M25" s="13" t="s">
        <v>165</v>
      </c>
      <c r="N25" s="11" t="s">
        <v>444</v>
      </c>
      <c r="O25" s="15"/>
      <c r="P25" s="15"/>
      <c r="Q25" s="15"/>
      <c r="R25" s="15"/>
      <c r="S25" s="15"/>
      <c r="T25" s="15"/>
      <c r="U25" s="15"/>
      <c r="V25" s="15"/>
      <c r="W25" s="15"/>
      <c r="X25" s="15"/>
      <c r="Y25" s="15"/>
      <c r="Z25" s="15"/>
      <c r="AA25" s="15"/>
      <c r="AB25" s="15"/>
      <c r="AC25" s="15"/>
      <c r="AD25" s="15"/>
      <c r="AE25" s="15"/>
      <c r="AF25" s="15"/>
      <c r="AG25" s="15"/>
      <c r="AH25" s="14"/>
      <c r="AI25" s="14"/>
      <c r="AJ25" s="15"/>
    </row>
    <row r="26" ht="27.75" customHeight="1">
      <c r="A26" s="9" t="s">
        <v>454</v>
      </c>
      <c r="B26" s="10" t="s">
        <v>408</v>
      </c>
      <c r="C26" s="11" t="s">
        <v>455</v>
      </c>
      <c r="D26" s="11" t="s">
        <v>456</v>
      </c>
      <c r="E26" s="10" t="s">
        <v>66</v>
      </c>
      <c r="F26" s="13" t="s">
        <v>451</v>
      </c>
      <c r="G26" s="13" t="s">
        <v>452</v>
      </c>
      <c r="H26" s="13" t="s">
        <v>453</v>
      </c>
      <c r="I26" s="13" t="s">
        <v>105</v>
      </c>
      <c r="J26" s="13" t="s">
        <v>148</v>
      </c>
      <c r="K26" s="13" t="s">
        <v>150</v>
      </c>
      <c r="L26" s="10" t="s">
        <v>407</v>
      </c>
      <c r="M26" s="13" t="s">
        <v>165</v>
      </c>
      <c r="N26" s="11"/>
      <c r="O26" s="15"/>
      <c r="P26" s="15"/>
      <c r="Q26" s="15"/>
      <c r="R26" s="15"/>
      <c r="S26" s="15"/>
      <c r="T26" s="15"/>
      <c r="U26" s="15"/>
      <c r="V26" s="15"/>
      <c r="W26" s="15"/>
      <c r="X26" s="15"/>
      <c r="Y26" s="15"/>
      <c r="Z26" s="15"/>
      <c r="AA26" s="15"/>
      <c r="AB26" s="15"/>
      <c r="AC26" s="15"/>
      <c r="AD26" s="15"/>
      <c r="AE26" s="15"/>
      <c r="AF26" s="15"/>
      <c r="AG26" s="15"/>
      <c r="AH26" s="15"/>
      <c r="AI26" s="14"/>
      <c r="AJ26" s="14"/>
    </row>
    <row r="27" ht="64.5" customHeight="1">
      <c r="A27" s="9" t="s">
        <v>465</v>
      </c>
      <c r="B27" s="10" t="s">
        <v>88</v>
      </c>
      <c r="C27" s="11" t="s">
        <v>466</v>
      </c>
      <c r="D27" s="11" t="s">
        <v>468</v>
      </c>
      <c r="E27" s="10" t="s">
        <v>66</v>
      </c>
      <c r="F27" s="13" t="s">
        <v>144</v>
      </c>
      <c r="G27" s="13" t="s">
        <v>147</v>
      </c>
      <c r="H27" s="13" t="s">
        <v>151</v>
      </c>
      <c r="I27" s="13" t="s">
        <v>105</v>
      </c>
      <c r="J27" s="13" t="s">
        <v>148</v>
      </c>
      <c r="K27" s="13" t="s">
        <v>150</v>
      </c>
      <c r="L27" s="10" t="s">
        <v>85</v>
      </c>
      <c r="M27" s="13" t="s">
        <v>112</v>
      </c>
      <c r="N27" s="11" t="s">
        <v>474</v>
      </c>
      <c r="O27" s="15"/>
      <c r="P27" s="14"/>
      <c r="Q27" s="14"/>
      <c r="R27" s="15"/>
      <c r="S27" s="15"/>
      <c r="T27" s="15"/>
      <c r="U27" s="15"/>
      <c r="V27" s="15"/>
      <c r="W27" s="15"/>
      <c r="X27" s="15"/>
      <c r="Y27" s="15"/>
      <c r="Z27" s="15"/>
      <c r="AA27" s="15"/>
      <c r="AB27" s="15"/>
      <c r="AC27" s="15"/>
      <c r="AD27" s="15"/>
      <c r="AE27" s="15"/>
      <c r="AF27" s="15"/>
      <c r="AG27" s="15"/>
      <c r="AH27" s="15"/>
      <c r="AI27" s="15"/>
      <c r="AJ27" s="15"/>
    </row>
    <row r="28" ht="64.5" customHeight="1">
      <c r="A28" s="9" t="s">
        <v>478</v>
      </c>
      <c r="B28" s="10" t="s">
        <v>214</v>
      </c>
      <c r="C28" s="11" t="s">
        <v>482</v>
      </c>
      <c r="D28" s="11" t="s">
        <v>486</v>
      </c>
      <c r="E28" s="10" t="s">
        <v>138</v>
      </c>
      <c r="F28" s="13" t="s">
        <v>437</v>
      </c>
      <c r="G28" s="13" t="s">
        <v>223</v>
      </c>
      <c r="H28" s="13" t="s">
        <v>240</v>
      </c>
      <c r="I28" s="13" t="s">
        <v>105</v>
      </c>
      <c r="J28" s="13" t="s">
        <v>148</v>
      </c>
      <c r="K28" s="13" t="s">
        <v>150</v>
      </c>
      <c r="L28" s="10" t="s">
        <v>132</v>
      </c>
      <c r="M28" s="13" t="s">
        <v>112</v>
      </c>
      <c r="N28" s="11" t="s">
        <v>489</v>
      </c>
      <c r="O28" s="15"/>
      <c r="P28" s="15"/>
      <c r="Q28" s="15"/>
      <c r="R28" s="15"/>
      <c r="S28" s="14"/>
      <c r="T28" s="14"/>
      <c r="U28" s="14"/>
      <c r="V28" s="15"/>
      <c r="W28" s="15"/>
      <c r="X28" s="15"/>
      <c r="Y28" s="15"/>
      <c r="Z28" s="15"/>
      <c r="AA28" s="15"/>
      <c r="AB28" s="15"/>
      <c r="AC28" s="15"/>
      <c r="AD28" s="15"/>
      <c r="AE28" s="15"/>
      <c r="AF28" s="15"/>
      <c r="AG28" s="15"/>
      <c r="AH28" s="15"/>
      <c r="AI28" s="15"/>
      <c r="AJ28" s="15"/>
    </row>
    <row r="29" ht="64.5" customHeight="1">
      <c r="A29" s="16" t="s">
        <v>493</v>
      </c>
      <c r="B29" s="17" t="s">
        <v>214</v>
      </c>
      <c r="C29" s="18" t="s">
        <v>497</v>
      </c>
      <c r="D29" s="18" t="s">
        <v>498</v>
      </c>
      <c r="E29" s="17" t="s">
        <v>138</v>
      </c>
      <c r="F29" s="19" t="s">
        <v>251</v>
      </c>
      <c r="G29" s="19" t="s">
        <v>252</v>
      </c>
      <c r="H29" s="19" t="s">
        <v>254</v>
      </c>
      <c r="I29" s="19" t="s">
        <v>105</v>
      </c>
      <c r="J29" s="19" t="s">
        <v>148</v>
      </c>
      <c r="K29" s="19" t="s">
        <v>150</v>
      </c>
      <c r="L29" s="17" t="s">
        <v>478</v>
      </c>
      <c r="M29" s="19" t="s">
        <v>174</v>
      </c>
      <c r="N29" s="18" t="s">
        <v>502</v>
      </c>
      <c r="O29" s="15"/>
      <c r="P29" s="15"/>
      <c r="Q29" s="15"/>
      <c r="R29" s="15"/>
      <c r="S29" s="15"/>
      <c r="T29" s="15"/>
      <c r="U29" s="14"/>
      <c r="V29" s="14"/>
      <c r="W29" s="15"/>
      <c r="X29" s="15"/>
      <c r="Y29" s="15"/>
      <c r="Z29" s="15"/>
      <c r="AA29" s="15"/>
      <c r="AB29" s="15"/>
      <c r="AC29" s="15"/>
      <c r="AD29" s="15"/>
      <c r="AE29" s="15"/>
      <c r="AF29" s="15"/>
      <c r="AG29" s="15"/>
      <c r="AH29" s="15"/>
      <c r="AI29" s="15"/>
      <c r="AJ29" s="15"/>
    </row>
    <row r="30" ht="39.0" customHeight="1">
      <c r="A30" s="16" t="s">
        <v>508</v>
      </c>
      <c r="B30" s="17" t="s">
        <v>214</v>
      </c>
      <c r="C30" s="18" t="s">
        <v>509</v>
      </c>
      <c r="D30" s="18" t="s">
        <v>510</v>
      </c>
      <c r="E30" s="24" t="s">
        <v>53</v>
      </c>
      <c r="F30" s="19" t="s">
        <v>45</v>
      </c>
      <c r="G30" s="19" t="s">
        <v>147</v>
      </c>
      <c r="H30" s="19" t="s">
        <v>143</v>
      </c>
      <c r="I30" s="19" t="s">
        <v>105</v>
      </c>
      <c r="J30" s="19" t="s">
        <v>108</v>
      </c>
      <c r="K30" s="19" t="s">
        <v>109</v>
      </c>
      <c r="L30" s="17"/>
      <c r="M30" s="19" t="s">
        <v>174</v>
      </c>
      <c r="N30" s="18" t="s">
        <v>520</v>
      </c>
      <c r="O30" s="15"/>
      <c r="P30" s="14"/>
      <c r="Q30" s="15"/>
      <c r="R30" s="15"/>
      <c r="S30" s="15"/>
      <c r="T30" s="15"/>
      <c r="U30" s="15"/>
      <c r="V30" s="15"/>
      <c r="W30" s="15"/>
      <c r="X30" s="15"/>
      <c r="Y30" s="15"/>
      <c r="Z30" s="15"/>
      <c r="AA30" s="15"/>
      <c r="AB30" s="15"/>
      <c r="AC30" s="15"/>
      <c r="AD30" s="15"/>
      <c r="AE30" s="15"/>
      <c r="AF30" s="15"/>
      <c r="AG30" s="15"/>
      <c r="AH30" s="15"/>
      <c r="AI30" s="15"/>
      <c r="AJ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30"/>
  <mergeCells count="1">
    <mergeCell ref="A1:AJ1"/>
  </mergeCells>
  <conditionalFormatting sqref="J3:J30">
    <cfRule type="cellIs" dxfId="0" priority="1" operator="equal">
      <formula>"Hoàn thành"</formula>
    </cfRule>
  </conditionalFormatting>
  <conditionalFormatting sqref="J3:J30">
    <cfRule type="cellIs" dxfId="1" priority="2" operator="equal">
      <formula>"Đang làm"</formula>
    </cfRule>
  </conditionalFormatting>
  <conditionalFormatting sqref="J3:J30">
    <cfRule type="cellIs" dxfId="2" priority="3" operator="equal">
      <formula>"Đang review"</formula>
    </cfRule>
  </conditionalFormatting>
  <conditionalFormatting sqref="J3:J30">
    <cfRule type="cellIs" dxfId="3" priority="4" operator="equal">
      <formula>"Bị chặn"</formula>
    </cfRule>
  </conditionalFormatting>
  <conditionalFormatting sqref="J3:J30">
    <cfRule type="cellIs" dxfId="4" priority="5" operator="equal">
      <formula>"Chưa bắt đầu"</formula>
    </cfRule>
  </conditionalFormatting>
  <dataValidations>
    <dataValidation type="list" allowBlank="1" sqref="E3:E30">
      <formula1>"BE1 – Mỹ,BE2 – Đạt,FE1 – Thịnh,FE2 – Ngọc,FE3 – Khang,Cả nhóm,Chưa gán"</formula1>
    </dataValidation>
    <dataValidation type="list" allowBlank="1" sqref="J3:J30">
      <formula1>"Chưa bắt đầu,Đang làm,Đang review,Hoàn thành,Bị chặn"</formula1>
    </dataValidation>
    <dataValidation type="list" allowBlank="1" sqref="I3:I30">
      <formula1>"Cao,Trung bình,Thấp"</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46.0"/>
    <col customWidth="1" min="4" max="4" width="52.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2.0"/>
    <col customWidth="1" min="15" max="36" width="4.14"/>
  </cols>
  <sheetData>
    <row r="1" ht="21.75" customHeight="1">
      <c r="A1" s="3" t="s">
        <v>10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8" t="s">
        <v>16</v>
      </c>
      <c r="B2" s="8" t="s">
        <v>22</v>
      </c>
      <c r="C2" s="8" t="s">
        <v>23</v>
      </c>
      <c r="D2" s="8" t="s">
        <v>25</v>
      </c>
      <c r="E2" s="8" t="s">
        <v>27</v>
      </c>
      <c r="F2" s="8" t="s">
        <v>29</v>
      </c>
      <c r="G2" s="8" t="s">
        <v>31</v>
      </c>
      <c r="H2" s="8" t="s">
        <v>32</v>
      </c>
      <c r="I2" s="8" t="s">
        <v>35</v>
      </c>
      <c r="J2" s="8" t="s">
        <v>37</v>
      </c>
      <c r="K2" s="8" t="s">
        <v>39</v>
      </c>
      <c r="L2" s="8" t="s">
        <v>40</v>
      </c>
      <c r="M2" s="8" t="s">
        <v>42</v>
      </c>
      <c r="N2" s="8" t="s">
        <v>43</v>
      </c>
      <c r="O2" s="8" t="s">
        <v>44</v>
      </c>
      <c r="P2" s="8" t="s">
        <v>45</v>
      </c>
      <c r="Q2" s="8" t="s">
        <v>46</v>
      </c>
      <c r="R2" s="8" t="s">
        <v>48</v>
      </c>
      <c r="S2" s="8" t="s">
        <v>50</v>
      </c>
      <c r="T2" s="8" t="s">
        <v>51</v>
      </c>
      <c r="U2" s="8" t="s">
        <v>54</v>
      </c>
      <c r="V2" s="8" t="s">
        <v>56</v>
      </c>
      <c r="W2" s="8" t="s">
        <v>58</v>
      </c>
      <c r="X2" s="8" t="s">
        <v>59</v>
      </c>
      <c r="Y2" s="8" t="s">
        <v>62</v>
      </c>
      <c r="Z2" s="8" t="s">
        <v>63</v>
      </c>
      <c r="AA2" s="8" t="s">
        <v>65</v>
      </c>
      <c r="AB2" s="8" t="s">
        <v>69</v>
      </c>
      <c r="AC2" s="8" t="s">
        <v>71</v>
      </c>
      <c r="AD2" s="8" t="s">
        <v>72</v>
      </c>
      <c r="AE2" s="8" t="s">
        <v>73</v>
      </c>
      <c r="AF2" s="8" t="s">
        <v>74</v>
      </c>
      <c r="AG2" s="8" t="s">
        <v>76</v>
      </c>
      <c r="AH2" s="8" t="s">
        <v>78</v>
      </c>
      <c r="AI2" s="8" t="s">
        <v>80</v>
      </c>
      <c r="AJ2" s="8" t="s">
        <v>82</v>
      </c>
    </row>
    <row r="3" ht="51.75" customHeight="1">
      <c r="A3" s="16" t="s">
        <v>122</v>
      </c>
      <c r="B3" s="17" t="s">
        <v>153</v>
      </c>
      <c r="C3" s="18" t="s">
        <v>159</v>
      </c>
      <c r="D3" s="18" t="s">
        <v>163</v>
      </c>
      <c r="E3" s="17" t="s">
        <v>53</v>
      </c>
      <c r="F3" s="19" t="s">
        <v>45</v>
      </c>
      <c r="G3" s="19" t="s">
        <v>147</v>
      </c>
      <c r="H3" s="19" t="s">
        <v>143</v>
      </c>
      <c r="I3" s="19" t="s">
        <v>105</v>
      </c>
      <c r="J3" s="20" t="s">
        <v>108</v>
      </c>
      <c r="K3" s="21">
        <v>1.0</v>
      </c>
      <c r="L3" s="17"/>
      <c r="M3" s="19" t="s">
        <v>174</v>
      </c>
      <c r="N3" s="18" t="s">
        <v>191</v>
      </c>
      <c r="O3" s="15"/>
      <c r="P3" s="14"/>
      <c r="Q3" s="15"/>
      <c r="R3" s="15"/>
      <c r="S3" s="15"/>
      <c r="T3" s="15"/>
      <c r="U3" s="15"/>
      <c r="V3" s="15"/>
      <c r="W3" s="15"/>
      <c r="X3" s="15"/>
      <c r="Y3" s="15"/>
      <c r="Z3" s="15"/>
      <c r="AA3" s="15"/>
      <c r="AB3" s="15"/>
      <c r="AC3" s="15"/>
      <c r="AD3" s="15"/>
      <c r="AE3" s="15"/>
      <c r="AF3" s="15"/>
      <c r="AG3" s="15"/>
      <c r="AH3" s="15"/>
      <c r="AI3" s="15"/>
      <c r="AJ3" s="15"/>
    </row>
    <row r="4" ht="27.75" customHeight="1">
      <c r="A4" s="9" t="s">
        <v>197</v>
      </c>
      <c r="B4" s="10" t="s">
        <v>153</v>
      </c>
      <c r="C4" s="11" t="s">
        <v>199</v>
      </c>
      <c r="D4" s="11" t="s">
        <v>200</v>
      </c>
      <c r="E4" s="10" t="s">
        <v>53</v>
      </c>
      <c r="F4" s="13" t="s">
        <v>45</v>
      </c>
      <c r="G4" s="13" t="s">
        <v>147</v>
      </c>
      <c r="H4" s="13" t="s">
        <v>143</v>
      </c>
      <c r="I4" s="13" t="s">
        <v>105</v>
      </c>
      <c r="J4" s="22" t="s">
        <v>108</v>
      </c>
      <c r="K4" s="21">
        <v>1.0</v>
      </c>
      <c r="L4" s="10"/>
      <c r="M4" s="13" t="s">
        <v>165</v>
      </c>
      <c r="N4" s="11" t="s">
        <v>213</v>
      </c>
      <c r="O4" s="15"/>
      <c r="P4" s="14"/>
      <c r="Q4" s="15"/>
      <c r="R4" s="15"/>
      <c r="S4" s="15"/>
      <c r="T4" s="15"/>
      <c r="U4" s="15"/>
      <c r="V4" s="15"/>
      <c r="W4" s="15"/>
      <c r="X4" s="15"/>
      <c r="Y4" s="15"/>
      <c r="Z4" s="15"/>
      <c r="AA4" s="15"/>
      <c r="AB4" s="15"/>
      <c r="AC4" s="15"/>
      <c r="AD4" s="15"/>
      <c r="AE4" s="15"/>
      <c r="AF4" s="15"/>
      <c r="AG4" s="15"/>
      <c r="AH4" s="15"/>
      <c r="AI4" s="15"/>
      <c r="AJ4" s="15"/>
    </row>
    <row r="5" ht="27.75" customHeight="1">
      <c r="A5" s="9" t="s">
        <v>225</v>
      </c>
      <c r="B5" s="10" t="s">
        <v>153</v>
      </c>
      <c r="C5" s="11" t="s">
        <v>227</v>
      </c>
      <c r="D5" s="11" t="s">
        <v>230</v>
      </c>
      <c r="E5" s="10" t="s">
        <v>53</v>
      </c>
      <c r="F5" s="13" t="s">
        <v>45</v>
      </c>
      <c r="G5" s="13" t="s">
        <v>147</v>
      </c>
      <c r="H5" s="13" t="s">
        <v>143</v>
      </c>
      <c r="I5" s="13" t="s">
        <v>105</v>
      </c>
      <c r="J5" s="22" t="s">
        <v>108</v>
      </c>
      <c r="K5" s="21">
        <v>1.0</v>
      </c>
      <c r="L5" s="10"/>
      <c r="M5" s="13" t="s">
        <v>112</v>
      </c>
      <c r="N5" s="11" t="s">
        <v>241</v>
      </c>
      <c r="O5" s="15"/>
      <c r="P5" s="14"/>
      <c r="Q5" s="15"/>
      <c r="R5" s="15"/>
      <c r="S5" s="15"/>
      <c r="T5" s="15"/>
      <c r="U5" s="15"/>
      <c r="V5" s="15"/>
      <c r="W5" s="15"/>
      <c r="X5" s="15"/>
      <c r="Y5" s="15"/>
      <c r="Z5" s="15"/>
      <c r="AA5" s="15"/>
      <c r="AB5" s="15"/>
      <c r="AC5" s="15"/>
      <c r="AD5" s="15"/>
      <c r="AE5" s="15"/>
      <c r="AF5" s="15"/>
      <c r="AG5" s="15"/>
      <c r="AH5" s="15"/>
      <c r="AI5" s="15"/>
      <c r="AJ5" s="15"/>
    </row>
    <row r="6" ht="39.0" customHeight="1">
      <c r="A6" s="9" t="s">
        <v>256</v>
      </c>
      <c r="B6" s="10" t="s">
        <v>153</v>
      </c>
      <c r="C6" s="11" t="s">
        <v>258</v>
      </c>
      <c r="D6" s="11" t="s">
        <v>259</v>
      </c>
      <c r="E6" s="10" t="s">
        <v>53</v>
      </c>
      <c r="F6" s="13" t="s">
        <v>45</v>
      </c>
      <c r="G6" s="13" t="s">
        <v>147</v>
      </c>
      <c r="H6" s="13" t="s">
        <v>143</v>
      </c>
      <c r="I6" s="13" t="s">
        <v>105</v>
      </c>
      <c r="J6" s="22" t="s">
        <v>108</v>
      </c>
      <c r="K6" s="21">
        <v>1.0</v>
      </c>
      <c r="L6" s="10" t="s">
        <v>225</v>
      </c>
      <c r="M6" s="13" t="s">
        <v>112</v>
      </c>
      <c r="N6" s="11" t="s">
        <v>262</v>
      </c>
      <c r="O6" s="15"/>
      <c r="P6" s="14"/>
      <c r="Q6" s="15"/>
      <c r="R6" s="15"/>
      <c r="S6" s="15"/>
      <c r="T6" s="15"/>
      <c r="U6" s="15"/>
      <c r="V6" s="15"/>
      <c r="W6" s="15"/>
      <c r="X6" s="15"/>
      <c r="Y6" s="15"/>
      <c r="Z6" s="15"/>
      <c r="AA6" s="15"/>
      <c r="AB6" s="15"/>
      <c r="AC6" s="15"/>
      <c r="AD6" s="15"/>
      <c r="AE6" s="15"/>
      <c r="AF6" s="15"/>
      <c r="AG6" s="15"/>
      <c r="AH6" s="15"/>
      <c r="AI6" s="15"/>
      <c r="AJ6" s="15"/>
    </row>
    <row r="7" ht="51.75" customHeight="1">
      <c r="A7" s="9" t="s">
        <v>270</v>
      </c>
      <c r="B7" s="10" t="s">
        <v>153</v>
      </c>
      <c r="C7" s="11" t="s">
        <v>271</v>
      </c>
      <c r="D7" s="11" t="s">
        <v>272</v>
      </c>
      <c r="E7" s="10" t="s">
        <v>53</v>
      </c>
      <c r="F7" s="13" t="s">
        <v>45</v>
      </c>
      <c r="G7" s="13" t="s">
        <v>147</v>
      </c>
      <c r="H7" s="13" t="s">
        <v>143</v>
      </c>
      <c r="I7" s="13" t="s">
        <v>105</v>
      </c>
      <c r="J7" s="22" t="s">
        <v>108</v>
      </c>
      <c r="K7" s="21">
        <v>1.0</v>
      </c>
      <c r="L7" s="10" t="s">
        <v>122</v>
      </c>
      <c r="M7" s="13" t="s">
        <v>112</v>
      </c>
      <c r="N7" s="11" t="s">
        <v>278</v>
      </c>
      <c r="O7" s="15"/>
      <c r="P7" s="14"/>
      <c r="Q7" s="15"/>
      <c r="R7" s="15"/>
      <c r="S7" s="15"/>
      <c r="T7" s="15"/>
      <c r="U7" s="15"/>
      <c r="V7" s="15"/>
      <c r="W7" s="15"/>
      <c r="X7" s="15"/>
      <c r="Y7" s="15"/>
      <c r="Z7" s="15"/>
      <c r="AA7" s="15"/>
      <c r="AB7" s="15"/>
      <c r="AC7" s="15"/>
      <c r="AD7" s="15"/>
      <c r="AE7" s="15"/>
      <c r="AF7" s="15"/>
      <c r="AG7" s="15"/>
      <c r="AH7" s="15"/>
      <c r="AI7" s="15"/>
      <c r="AJ7" s="15"/>
    </row>
    <row r="8" ht="27.75" customHeight="1">
      <c r="A8" s="9" t="s">
        <v>285</v>
      </c>
      <c r="B8" s="10" t="s">
        <v>153</v>
      </c>
      <c r="C8" s="11" t="s">
        <v>290</v>
      </c>
      <c r="D8" s="11" t="s">
        <v>293</v>
      </c>
      <c r="E8" s="10" t="s">
        <v>53</v>
      </c>
      <c r="F8" s="13" t="s">
        <v>45</v>
      </c>
      <c r="G8" s="13" t="s">
        <v>147</v>
      </c>
      <c r="H8" s="13" t="s">
        <v>143</v>
      </c>
      <c r="I8" s="13" t="s">
        <v>105</v>
      </c>
      <c r="J8" s="22" t="s">
        <v>108</v>
      </c>
      <c r="K8" s="21">
        <v>1.0</v>
      </c>
      <c r="L8" s="10" t="s">
        <v>197</v>
      </c>
      <c r="M8" s="13" t="s">
        <v>165</v>
      </c>
      <c r="N8" s="11" t="s">
        <v>297</v>
      </c>
      <c r="O8" s="15"/>
      <c r="P8" s="14"/>
      <c r="Q8" s="15"/>
      <c r="R8" s="15"/>
      <c r="S8" s="15"/>
      <c r="T8" s="15"/>
      <c r="U8" s="15"/>
      <c r="V8" s="15"/>
      <c r="W8" s="15"/>
      <c r="X8" s="15"/>
      <c r="Y8" s="15"/>
      <c r="Z8" s="15"/>
      <c r="AA8" s="15"/>
      <c r="AB8" s="15"/>
      <c r="AC8" s="15"/>
      <c r="AD8" s="15"/>
      <c r="AE8" s="15"/>
      <c r="AF8" s="15"/>
      <c r="AG8" s="15"/>
      <c r="AH8" s="15"/>
      <c r="AI8" s="15"/>
      <c r="AJ8" s="15"/>
    </row>
    <row r="9" ht="27.75" customHeight="1">
      <c r="A9" s="9" t="s">
        <v>309</v>
      </c>
      <c r="B9" s="10" t="s">
        <v>311</v>
      </c>
      <c r="C9" s="11" t="s">
        <v>314</v>
      </c>
      <c r="D9" s="11" t="s">
        <v>316</v>
      </c>
      <c r="E9" s="10" t="s">
        <v>53</v>
      </c>
      <c r="F9" s="13" t="s">
        <v>45</v>
      </c>
      <c r="G9" s="13" t="s">
        <v>147</v>
      </c>
      <c r="H9" s="13" t="s">
        <v>143</v>
      </c>
      <c r="I9" s="13" t="s">
        <v>105</v>
      </c>
      <c r="J9" s="22" t="s">
        <v>108</v>
      </c>
      <c r="K9" s="21">
        <v>1.0</v>
      </c>
      <c r="L9" s="10" t="s">
        <v>256</v>
      </c>
      <c r="M9" s="13" t="s">
        <v>165</v>
      </c>
      <c r="N9" s="11"/>
      <c r="O9" s="15"/>
      <c r="P9" s="14"/>
      <c r="Q9" s="15"/>
      <c r="R9" s="15"/>
      <c r="S9" s="15"/>
      <c r="T9" s="15"/>
      <c r="U9" s="15"/>
      <c r="V9" s="15"/>
      <c r="W9" s="15"/>
      <c r="X9" s="15"/>
      <c r="Y9" s="15"/>
      <c r="Z9" s="15"/>
      <c r="AA9" s="15"/>
      <c r="AB9" s="15"/>
      <c r="AC9" s="15"/>
      <c r="AD9" s="15"/>
      <c r="AE9" s="15"/>
      <c r="AF9" s="15"/>
      <c r="AG9" s="15"/>
      <c r="AH9" s="15"/>
      <c r="AI9" s="15"/>
      <c r="AJ9" s="15"/>
    </row>
    <row r="10" ht="27.75" customHeight="1">
      <c r="A10" s="9" t="s">
        <v>336</v>
      </c>
      <c r="B10" s="10" t="s">
        <v>311</v>
      </c>
      <c r="C10" s="11" t="s">
        <v>340</v>
      </c>
      <c r="D10" s="11" t="s">
        <v>342</v>
      </c>
      <c r="E10" s="10" t="s">
        <v>53</v>
      </c>
      <c r="F10" s="13" t="s">
        <v>45</v>
      </c>
      <c r="G10" s="13" t="s">
        <v>147</v>
      </c>
      <c r="H10" s="13" t="s">
        <v>143</v>
      </c>
      <c r="I10" s="13" t="s">
        <v>105</v>
      </c>
      <c r="J10" s="22" t="s">
        <v>108</v>
      </c>
      <c r="K10" s="21">
        <v>1.0</v>
      </c>
      <c r="L10" s="10" t="s">
        <v>309</v>
      </c>
      <c r="M10" s="13" t="s">
        <v>165</v>
      </c>
      <c r="N10" s="11" t="s">
        <v>351</v>
      </c>
      <c r="O10" s="15"/>
      <c r="P10" s="14"/>
      <c r="Q10" s="15"/>
      <c r="R10" s="15"/>
      <c r="S10" s="15"/>
      <c r="T10" s="15"/>
      <c r="U10" s="15"/>
      <c r="V10" s="15"/>
      <c r="W10" s="15"/>
      <c r="X10" s="15"/>
      <c r="Y10" s="15"/>
      <c r="Z10" s="15"/>
      <c r="AA10" s="15"/>
      <c r="AB10" s="15"/>
      <c r="AC10" s="15"/>
      <c r="AD10" s="15"/>
      <c r="AE10" s="15"/>
      <c r="AF10" s="15"/>
      <c r="AG10" s="15"/>
      <c r="AH10" s="15"/>
      <c r="AI10" s="15"/>
      <c r="AJ10" s="15"/>
    </row>
    <row r="11" ht="39.0" customHeight="1">
      <c r="A11" s="9" t="s">
        <v>364</v>
      </c>
      <c r="B11" s="10" t="s">
        <v>311</v>
      </c>
      <c r="C11" s="11" t="s">
        <v>365</v>
      </c>
      <c r="D11" s="11" t="s">
        <v>366</v>
      </c>
      <c r="E11" s="10" t="s">
        <v>53</v>
      </c>
      <c r="F11" s="13" t="s">
        <v>46</v>
      </c>
      <c r="G11" s="13" t="s">
        <v>193</v>
      </c>
      <c r="H11" s="13" t="s">
        <v>151</v>
      </c>
      <c r="I11" s="13" t="s">
        <v>105</v>
      </c>
      <c r="J11" s="22" t="s">
        <v>108</v>
      </c>
      <c r="K11" s="21">
        <v>1.0</v>
      </c>
      <c r="L11" s="10" t="s">
        <v>336</v>
      </c>
      <c r="M11" s="13" t="s">
        <v>112</v>
      </c>
      <c r="N11" s="11" t="s">
        <v>374</v>
      </c>
      <c r="O11" s="15"/>
      <c r="P11" s="15"/>
      <c r="Q11" s="14"/>
      <c r="R11" s="15"/>
      <c r="S11" s="15"/>
      <c r="T11" s="15"/>
      <c r="U11" s="15"/>
      <c r="V11" s="15"/>
      <c r="W11" s="15"/>
      <c r="X11" s="15"/>
      <c r="Y11" s="15"/>
      <c r="Z11" s="15"/>
      <c r="AA11" s="15"/>
      <c r="AB11" s="15"/>
      <c r="AC11" s="15"/>
      <c r="AD11" s="15"/>
      <c r="AE11" s="15"/>
      <c r="AF11" s="15"/>
      <c r="AG11" s="15"/>
      <c r="AH11" s="15"/>
      <c r="AI11" s="15"/>
      <c r="AJ11" s="15"/>
    </row>
    <row r="12" ht="51.75" customHeight="1">
      <c r="A12" s="9" t="s">
        <v>383</v>
      </c>
      <c r="B12" s="10" t="s">
        <v>384</v>
      </c>
      <c r="C12" s="11" t="s">
        <v>386</v>
      </c>
      <c r="D12" s="11" t="s">
        <v>387</v>
      </c>
      <c r="E12" s="10" t="s">
        <v>53</v>
      </c>
      <c r="F12" s="13" t="s">
        <v>246</v>
      </c>
      <c r="G12" s="13" t="s">
        <v>193</v>
      </c>
      <c r="H12" s="13" t="s">
        <v>233</v>
      </c>
      <c r="I12" s="13" t="s">
        <v>105</v>
      </c>
      <c r="J12" s="22" t="s">
        <v>108</v>
      </c>
      <c r="K12" s="21">
        <v>1.0</v>
      </c>
      <c r="L12" s="10" t="s">
        <v>256</v>
      </c>
      <c r="M12" s="13" t="s">
        <v>112</v>
      </c>
      <c r="N12" s="11" t="s">
        <v>397</v>
      </c>
      <c r="O12" s="15"/>
      <c r="P12" s="15"/>
      <c r="Q12" s="14"/>
      <c r="R12" s="14"/>
      <c r="S12" s="15"/>
      <c r="T12" s="15"/>
      <c r="U12" s="15"/>
      <c r="V12" s="15"/>
      <c r="W12" s="15"/>
      <c r="X12" s="15"/>
      <c r="Y12" s="15"/>
      <c r="Z12" s="15"/>
      <c r="AA12" s="15"/>
      <c r="AB12" s="15"/>
      <c r="AC12" s="15"/>
      <c r="AD12" s="15"/>
      <c r="AE12" s="15"/>
      <c r="AF12" s="15"/>
      <c r="AG12" s="15"/>
      <c r="AH12" s="15"/>
      <c r="AI12" s="15"/>
      <c r="AJ12" s="15"/>
    </row>
    <row r="13" ht="39.0" customHeight="1">
      <c r="A13" s="9" t="s">
        <v>403</v>
      </c>
      <c r="B13" s="10" t="s">
        <v>384</v>
      </c>
      <c r="C13" s="11" t="s">
        <v>404</v>
      </c>
      <c r="D13" s="11" t="s">
        <v>405</v>
      </c>
      <c r="E13" s="10" t="s">
        <v>53</v>
      </c>
      <c r="F13" s="13" t="s">
        <v>46</v>
      </c>
      <c r="G13" s="13" t="s">
        <v>193</v>
      </c>
      <c r="H13" s="13" t="s">
        <v>151</v>
      </c>
      <c r="I13" s="13" t="s">
        <v>105</v>
      </c>
      <c r="J13" s="22" t="s">
        <v>108</v>
      </c>
      <c r="K13" s="21">
        <v>1.0</v>
      </c>
      <c r="L13" s="10" t="s">
        <v>383</v>
      </c>
      <c r="M13" s="13" t="s">
        <v>112</v>
      </c>
      <c r="N13" s="11" t="s">
        <v>417</v>
      </c>
      <c r="O13" s="15"/>
      <c r="P13" s="15"/>
      <c r="Q13" s="14"/>
      <c r="R13" s="15"/>
      <c r="S13" s="15"/>
      <c r="T13" s="15"/>
      <c r="U13" s="15"/>
      <c r="V13" s="15"/>
      <c r="W13" s="15"/>
      <c r="X13" s="15"/>
      <c r="Y13" s="15"/>
      <c r="Z13" s="15"/>
      <c r="AA13" s="15"/>
      <c r="AB13" s="15"/>
      <c r="AC13" s="15"/>
      <c r="AD13" s="15"/>
      <c r="AE13" s="15"/>
      <c r="AF13" s="15"/>
      <c r="AG13" s="15"/>
      <c r="AH13" s="15"/>
      <c r="AI13" s="15"/>
      <c r="AJ13" s="15"/>
    </row>
    <row r="14" ht="39.0" customHeight="1">
      <c r="A14" s="9" t="s">
        <v>426</v>
      </c>
      <c r="B14" s="10" t="s">
        <v>384</v>
      </c>
      <c r="C14" s="11" t="s">
        <v>427</v>
      </c>
      <c r="D14" s="11" t="s">
        <v>428</v>
      </c>
      <c r="E14" s="10" t="s">
        <v>53</v>
      </c>
      <c r="F14" s="13" t="s">
        <v>48</v>
      </c>
      <c r="G14" s="13" t="s">
        <v>209</v>
      </c>
      <c r="H14" s="13" t="s">
        <v>233</v>
      </c>
      <c r="I14" s="13" t="s">
        <v>105</v>
      </c>
      <c r="J14" s="22" t="s">
        <v>108</v>
      </c>
      <c r="K14" s="21">
        <v>1.0</v>
      </c>
      <c r="L14" s="10" t="s">
        <v>225</v>
      </c>
      <c r="M14" s="13" t="s">
        <v>165</v>
      </c>
      <c r="N14" s="11" t="s">
        <v>436</v>
      </c>
      <c r="O14" s="15"/>
      <c r="P14" s="15"/>
      <c r="Q14" s="15"/>
      <c r="R14" s="14"/>
      <c r="S14" s="15"/>
      <c r="T14" s="15"/>
      <c r="U14" s="15"/>
      <c r="V14" s="15"/>
      <c r="W14" s="15"/>
      <c r="X14" s="15"/>
      <c r="Y14" s="15"/>
      <c r="Z14" s="15"/>
      <c r="AA14" s="15"/>
      <c r="AB14" s="15"/>
      <c r="AC14" s="15"/>
      <c r="AD14" s="15"/>
      <c r="AE14" s="15"/>
      <c r="AF14" s="15"/>
      <c r="AG14" s="15"/>
      <c r="AH14" s="15"/>
      <c r="AI14" s="15"/>
      <c r="AJ14" s="15"/>
    </row>
    <row r="15" ht="27.75" customHeight="1">
      <c r="A15" s="9" t="s">
        <v>440</v>
      </c>
      <c r="B15" s="10" t="s">
        <v>384</v>
      </c>
      <c r="C15" s="11" t="s">
        <v>442</v>
      </c>
      <c r="D15" s="11" t="s">
        <v>443</v>
      </c>
      <c r="E15" s="10" t="s">
        <v>53</v>
      </c>
      <c r="F15" s="13" t="s">
        <v>208</v>
      </c>
      <c r="G15" s="13" t="s">
        <v>209</v>
      </c>
      <c r="H15" s="13" t="s">
        <v>210</v>
      </c>
      <c r="I15" s="13" t="s">
        <v>105</v>
      </c>
      <c r="J15" s="13" t="s">
        <v>148</v>
      </c>
      <c r="K15" s="13" t="s">
        <v>150</v>
      </c>
      <c r="L15" s="10" t="s">
        <v>383</v>
      </c>
      <c r="M15" s="13" t="s">
        <v>165</v>
      </c>
      <c r="N15" s="11"/>
      <c r="O15" s="15"/>
      <c r="P15" s="15"/>
      <c r="Q15" s="15"/>
      <c r="R15" s="14"/>
      <c r="S15" s="14"/>
      <c r="T15" s="15"/>
      <c r="U15" s="15"/>
      <c r="V15" s="15"/>
      <c r="W15" s="15"/>
      <c r="X15" s="15"/>
      <c r="Y15" s="15"/>
      <c r="Z15" s="15"/>
      <c r="AA15" s="15"/>
      <c r="AB15" s="15"/>
      <c r="AC15" s="15"/>
      <c r="AD15" s="15"/>
      <c r="AE15" s="15"/>
      <c r="AF15" s="15"/>
      <c r="AG15" s="15"/>
      <c r="AH15" s="15"/>
      <c r="AI15" s="15"/>
      <c r="AJ15" s="15"/>
    </row>
    <row r="16" ht="27.75" customHeight="1">
      <c r="A16" s="9" t="s">
        <v>457</v>
      </c>
      <c r="B16" s="10" t="s">
        <v>384</v>
      </c>
      <c r="C16" s="11" t="s">
        <v>458</v>
      </c>
      <c r="D16" s="11" t="s">
        <v>459</v>
      </c>
      <c r="E16" s="10" t="s">
        <v>53</v>
      </c>
      <c r="F16" s="13" t="s">
        <v>50</v>
      </c>
      <c r="G16" s="13" t="s">
        <v>223</v>
      </c>
      <c r="H16" s="13" t="s">
        <v>210</v>
      </c>
      <c r="I16" s="13" t="s">
        <v>105</v>
      </c>
      <c r="J16" s="13" t="s">
        <v>148</v>
      </c>
      <c r="K16" s="13" t="s">
        <v>150</v>
      </c>
      <c r="L16" s="10" t="s">
        <v>440</v>
      </c>
      <c r="M16" s="13" t="s">
        <v>165</v>
      </c>
      <c r="N16" s="11" t="s">
        <v>463</v>
      </c>
      <c r="O16" s="15"/>
      <c r="P16" s="15"/>
      <c r="Q16" s="15"/>
      <c r="R16" s="15"/>
      <c r="S16" s="14"/>
      <c r="T16" s="15"/>
      <c r="U16" s="15"/>
      <c r="V16" s="15"/>
      <c r="W16" s="15"/>
      <c r="X16" s="15"/>
      <c r="Y16" s="15"/>
      <c r="Z16" s="15"/>
      <c r="AA16" s="15"/>
      <c r="AB16" s="15"/>
      <c r="AC16" s="15"/>
      <c r="AD16" s="15"/>
      <c r="AE16" s="15"/>
      <c r="AF16" s="15"/>
      <c r="AG16" s="15"/>
      <c r="AH16" s="15"/>
      <c r="AI16" s="15"/>
      <c r="AJ16" s="15"/>
    </row>
    <row r="17" ht="51.75" customHeight="1">
      <c r="A17" s="9" t="s">
        <v>467</v>
      </c>
      <c r="B17" s="10" t="s">
        <v>384</v>
      </c>
      <c r="C17" s="11" t="s">
        <v>469</v>
      </c>
      <c r="D17" s="11" t="s">
        <v>470</v>
      </c>
      <c r="E17" s="10" t="s">
        <v>53</v>
      </c>
      <c r="F17" s="13" t="s">
        <v>50</v>
      </c>
      <c r="G17" s="13" t="s">
        <v>223</v>
      </c>
      <c r="H17" s="13" t="s">
        <v>210</v>
      </c>
      <c r="I17" s="13" t="s">
        <v>105</v>
      </c>
      <c r="J17" s="13" t="s">
        <v>148</v>
      </c>
      <c r="K17" s="13" t="s">
        <v>150</v>
      </c>
      <c r="L17" s="10" t="s">
        <v>457</v>
      </c>
      <c r="M17" s="13" t="s">
        <v>112</v>
      </c>
      <c r="N17" s="11" t="s">
        <v>475</v>
      </c>
      <c r="O17" s="15"/>
      <c r="P17" s="15"/>
      <c r="Q17" s="15"/>
      <c r="R17" s="15"/>
      <c r="S17" s="14"/>
      <c r="T17" s="15"/>
      <c r="U17" s="15"/>
      <c r="V17" s="15"/>
      <c r="W17" s="15"/>
      <c r="X17" s="15"/>
      <c r="Y17" s="15"/>
      <c r="Z17" s="15"/>
      <c r="AA17" s="15"/>
      <c r="AB17" s="15"/>
      <c r="AC17" s="15"/>
      <c r="AD17" s="15"/>
      <c r="AE17" s="15"/>
      <c r="AF17" s="15"/>
      <c r="AG17" s="15"/>
      <c r="AH17" s="15"/>
      <c r="AI17" s="15"/>
      <c r="AJ17" s="15"/>
    </row>
    <row r="18" ht="27.75" customHeight="1">
      <c r="A18" s="9" t="s">
        <v>477</v>
      </c>
      <c r="B18" s="10" t="s">
        <v>479</v>
      </c>
      <c r="C18" s="11" t="s">
        <v>481</v>
      </c>
      <c r="D18" s="11" t="s">
        <v>484</v>
      </c>
      <c r="E18" s="10" t="s">
        <v>53</v>
      </c>
      <c r="F18" s="13" t="s">
        <v>238</v>
      </c>
      <c r="G18" s="13" t="s">
        <v>239</v>
      </c>
      <c r="H18" s="13" t="s">
        <v>240</v>
      </c>
      <c r="I18" s="13" t="s">
        <v>105</v>
      </c>
      <c r="J18" s="13" t="s">
        <v>148</v>
      </c>
      <c r="K18" s="13" t="s">
        <v>150</v>
      </c>
      <c r="L18" s="10" t="s">
        <v>426</v>
      </c>
      <c r="M18" s="13" t="s">
        <v>165</v>
      </c>
      <c r="N18" s="11"/>
      <c r="O18" s="15"/>
      <c r="P18" s="15"/>
      <c r="Q18" s="15"/>
      <c r="R18" s="15"/>
      <c r="S18" s="15"/>
      <c r="T18" s="14"/>
      <c r="U18" s="14"/>
      <c r="V18" s="15"/>
      <c r="W18" s="15"/>
      <c r="X18" s="15"/>
      <c r="Y18" s="15"/>
      <c r="Z18" s="15"/>
      <c r="AA18" s="15"/>
      <c r="AB18" s="15"/>
      <c r="AC18" s="15"/>
      <c r="AD18" s="15"/>
      <c r="AE18" s="15"/>
      <c r="AF18" s="15"/>
      <c r="AG18" s="15"/>
      <c r="AH18" s="15"/>
      <c r="AI18" s="15"/>
      <c r="AJ18" s="15"/>
    </row>
    <row r="19" ht="39.0" customHeight="1">
      <c r="A19" s="9" t="s">
        <v>490</v>
      </c>
      <c r="B19" s="10" t="s">
        <v>479</v>
      </c>
      <c r="C19" s="11" t="s">
        <v>491</v>
      </c>
      <c r="D19" s="11" t="s">
        <v>494</v>
      </c>
      <c r="E19" s="10" t="s">
        <v>53</v>
      </c>
      <c r="F19" s="13" t="s">
        <v>54</v>
      </c>
      <c r="G19" s="13" t="s">
        <v>252</v>
      </c>
      <c r="H19" s="13" t="s">
        <v>240</v>
      </c>
      <c r="I19" s="13" t="s">
        <v>105</v>
      </c>
      <c r="J19" s="13" t="s">
        <v>148</v>
      </c>
      <c r="K19" s="13" t="s">
        <v>150</v>
      </c>
      <c r="L19" s="10" t="s">
        <v>477</v>
      </c>
      <c r="M19" s="13" t="s">
        <v>165</v>
      </c>
      <c r="N19" s="11" t="s">
        <v>499</v>
      </c>
      <c r="O19" s="15"/>
      <c r="P19" s="15"/>
      <c r="Q19" s="15"/>
      <c r="R19" s="15"/>
      <c r="S19" s="15"/>
      <c r="T19" s="15"/>
      <c r="U19" s="14"/>
      <c r="V19" s="15"/>
      <c r="W19" s="15"/>
      <c r="X19" s="15"/>
      <c r="Y19" s="15"/>
      <c r="Z19" s="15"/>
      <c r="AA19" s="15"/>
      <c r="AB19" s="15"/>
      <c r="AC19" s="15"/>
      <c r="AD19" s="15"/>
      <c r="AE19" s="15"/>
      <c r="AF19" s="15"/>
      <c r="AG19" s="15"/>
      <c r="AH19" s="15"/>
      <c r="AI19" s="15"/>
      <c r="AJ19" s="15"/>
    </row>
    <row r="20" ht="27.75" customHeight="1">
      <c r="A20" s="9" t="s">
        <v>501</v>
      </c>
      <c r="B20" s="10" t="s">
        <v>479</v>
      </c>
      <c r="C20" s="11" t="s">
        <v>504</v>
      </c>
      <c r="D20" s="11" t="s">
        <v>506</v>
      </c>
      <c r="E20" s="10" t="s">
        <v>53</v>
      </c>
      <c r="F20" s="13" t="s">
        <v>251</v>
      </c>
      <c r="G20" s="13" t="s">
        <v>252</v>
      </c>
      <c r="H20" s="13" t="s">
        <v>254</v>
      </c>
      <c r="I20" s="13" t="s">
        <v>260</v>
      </c>
      <c r="J20" s="13" t="s">
        <v>148</v>
      </c>
      <c r="K20" s="13" t="s">
        <v>150</v>
      </c>
      <c r="L20" s="10" t="s">
        <v>477</v>
      </c>
      <c r="M20" s="13" t="s">
        <v>165</v>
      </c>
      <c r="N20" s="11"/>
      <c r="O20" s="15"/>
      <c r="P20" s="15"/>
      <c r="Q20" s="15"/>
      <c r="R20" s="15"/>
      <c r="S20" s="15"/>
      <c r="T20" s="15"/>
      <c r="U20" s="14"/>
      <c r="V20" s="14"/>
      <c r="W20" s="15"/>
      <c r="X20" s="15"/>
      <c r="Y20" s="15"/>
      <c r="Z20" s="15"/>
      <c r="AA20" s="15"/>
      <c r="AB20" s="15"/>
      <c r="AC20" s="15"/>
      <c r="AD20" s="15"/>
      <c r="AE20" s="15"/>
      <c r="AF20" s="15"/>
      <c r="AG20" s="15"/>
      <c r="AH20" s="15"/>
      <c r="AI20" s="15"/>
      <c r="AJ20" s="15"/>
    </row>
    <row r="21" ht="51.75" customHeight="1">
      <c r="A21" s="9" t="s">
        <v>512</v>
      </c>
      <c r="B21" s="10" t="s">
        <v>513</v>
      </c>
      <c r="C21" s="11" t="s">
        <v>515</v>
      </c>
      <c r="D21" s="11" t="s">
        <v>517</v>
      </c>
      <c r="E21" s="10" t="s">
        <v>53</v>
      </c>
      <c r="F21" s="13" t="s">
        <v>282</v>
      </c>
      <c r="G21" s="13" t="s">
        <v>269</v>
      </c>
      <c r="H21" s="13" t="s">
        <v>283</v>
      </c>
      <c r="I21" s="13" t="s">
        <v>105</v>
      </c>
      <c r="J21" s="22" t="s">
        <v>521</v>
      </c>
      <c r="K21" s="25">
        <v>0.3</v>
      </c>
      <c r="L21" s="10" t="s">
        <v>383</v>
      </c>
      <c r="M21" s="13" t="s">
        <v>112</v>
      </c>
      <c r="N21" s="11" t="s">
        <v>523</v>
      </c>
      <c r="O21" s="15"/>
      <c r="P21" s="15"/>
      <c r="Q21" s="15"/>
      <c r="R21" s="15"/>
      <c r="S21" s="15"/>
      <c r="T21" s="15"/>
      <c r="U21" s="15"/>
      <c r="V21" s="14"/>
      <c r="W21" s="14"/>
      <c r="X21" s="15"/>
      <c r="Y21" s="15"/>
      <c r="Z21" s="15"/>
      <c r="AA21" s="15"/>
      <c r="AB21" s="15"/>
      <c r="AC21" s="15"/>
      <c r="AD21" s="15"/>
      <c r="AE21" s="15"/>
      <c r="AF21" s="15"/>
      <c r="AG21" s="15"/>
      <c r="AH21" s="15"/>
      <c r="AI21" s="15"/>
      <c r="AJ21" s="15"/>
    </row>
    <row r="22" ht="27.75" customHeight="1">
      <c r="A22" s="9" t="s">
        <v>527</v>
      </c>
      <c r="B22" s="10" t="s">
        <v>513</v>
      </c>
      <c r="C22" s="11" t="s">
        <v>529</v>
      </c>
      <c r="D22" s="11" t="s">
        <v>530</v>
      </c>
      <c r="E22" s="10" t="s">
        <v>53</v>
      </c>
      <c r="F22" s="13" t="s">
        <v>58</v>
      </c>
      <c r="G22" s="13" t="s">
        <v>294</v>
      </c>
      <c r="H22" s="13" t="s">
        <v>283</v>
      </c>
      <c r="I22" s="13" t="s">
        <v>105</v>
      </c>
      <c r="J22" s="13" t="s">
        <v>148</v>
      </c>
      <c r="K22" s="13" t="s">
        <v>150</v>
      </c>
      <c r="L22" s="10" t="s">
        <v>512</v>
      </c>
      <c r="M22" s="13" t="s">
        <v>112</v>
      </c>
      <c r="N22" s="11" t="s">
        <v>532</v>
      </c>
      <c r="O22" s="15"/>
      <c r="P22" s="15"/>
      <c r="Q22" s="15"/>
      <c r="R22" s="15"/>
      <c r="S22" s="15"/>
      <c r="T22" s="15"/>
      <c r="U22" s="15"/>
      <c r="V22" s="15"/>
      <c r="W22" s="14"/>
      <c r="X22" s="15"/>
      <c r="Y22" s="15"/>
      <c r="Z22" s="15"/>
      <c r="AA22" s="15"/>
      <c r="AB22" s="15"/>
      <c r="AC22" s="15"/>
      <c r="AD22" s="15"/>
      <c r="AE22" s="15"/>
      <c r="AF22" s="15"/>
      <c r="AG22" s="15"/>
      <c r="AH22" s="15"/>
      <c r="AI22" s="15"/>
      <c r="AJ22" s="15"/>
    </row>
    <row r="23" ht="64.5" customHeight="1">
      <c r="A23" s="9" t="s">
        <v>536</v>
      </c>
      <c r="B23" s="10" t="s">
        <v>513</v>
      </c>
      <c r="C23" s="11" t="s">
        <v>537</v>
      </c>
      <c r="D23" s="11" t="s">
        <v>538</v>
      </c>
      <c r="E23" s="10" t="s">
        <v>53</v>
      </c>
      <c r="F23" s="13" t="s">
        <v>305</v>
      </c>
      <c r="G23" s="13" t="s">
        <v>294</v>
      </c>
      <c r="H23" s="13" t="s">
        <v>306</v>
      </c>
      <c r="I23" s="13" t="s">
        <v>105</v>
      </c>
      <c r="J23" s="13" t="s">
        <v>148</v>
      </c>
      <c r="K23" s="13" t="s">
        <v>150</v>
      </c>
      <c r="L23" s="10" t="s">
        <v>512</v>
      </c>
      <c r="M23" s="13" t="s">
        <v>112</v>
      </c>
      <c r="N23" s="11" t="s">
        <v>541</v>
      </c>
      <c r="O23" s="15"/>
      <c r="P23" s="15"/>
      <c r="Q23" s="15"/>
      <c r="R23" s="15"/>
      <c r="S23" s="15"/>
      <c r="T23" s="15"/>
      <c r="U23" s="15"/>
      <c r="V23" s="15"/>
      <c r="W23" s="14"/>
      <c r="X23" s="14"/>
      <c r="Y23" s="15"/>
      <c r="Z23" s="15"/>
      <c r="AA23" s="15"/>
      <c r="AB23" s="15"/>
      <c r="AC23" s="15"/>
      <c r="AD23" s="15"/>
      <c r="AE23" s="15"/>
      <c r="AF23" s="15"/>
      <c r="AG23" s="15"/>
      <c r="AH23" s="15"/>
      <c r="AI23" s="15"/>
      <c r="AJ23" s="15"/>
    </row>
    <row r="24" ht="27.75" customHeight="1">
      <c r="A24" s="9" t="s">
        <v>545</v>
      </c>
      <c r="B24" s="10" t="s">
        <v>546</v>
      </c>
      <c r="C24" s="11" t="s">
        <v>547</v>
      </c>
      <c r="D24" s="11" t="s">
        <v>548</v>
      </c>
      <c r="E24" s="10" t="s">
        <v>53</v>
      </c>
      <c r="F24" s="13" t="s">
        <v>330</v>
      </c>
      <c r="G24" s="13" t="s">
        <v>319</v>
      </c>
      <c r="H24" s="13" t="s">
        <v>331</v>
      </c>
      <c r="I24" s="13" t="s">
        <v>105</v>
      </c>
      <c r="J24" s="13" t="s">
        <v>148</v>
      </c>
      <c r="K24" s="13" t="s">
        <v>150</v>
      </c>
      <c r="L24" s="10" t="s">
        <v>527</v>
      </c>
      <c r="M24" s="13" t="s">
        <v>165</v>
      </c>
      <c r="N24" s="11"/>
      <c r="O24" s="15"/>
      <c r="P24" s="15"/>
      <c r="Q24" s="15"/>
      <c r="R24" s="15"/>
      <c r="S24" s="15"/>
      <c r="T24" s="15"/>
      <c r="U24" s="15"/>
      <c r="V24" s="15"/>
      <c r="W24" s="15"/>
      <c r="X24" s="14"/>
      <c r="Y24" s="14"/>
      <c r="Z24" s="15"/>
      <c r="AA24" s="15"/>
      <c r="AB24" s="15"/>
      <c r="AC24" s="15"/>
      <c r="AD24" s="15"/>
      <c r="AE24" s="15"/>
      <c r="AF24" s="15"/>
      <c r="AG24" s="15"/>
      <c r="AH24" s="15"/>
      <c r="AI24" s="15"/>
      <c r="AJ24" s="15"/>
    </row>
    <row r="25" ht="27.75" customHeight="1">
      <c r="A25" s="9" t="s">
        <v>554</v>
      </c>
      <c r="B25" s="10" t="s">
        <v>546</v>
      </c>
      <c r="C25" s="11" t="s">
        <v>556</v>
      </c>
      <c r="D25" s="11" t="s">
        <v>558</v>
      </c>
      <c r="E25" s="10" t="s">
        <v>53</v>
      </c>
      <c r="F25" s="13" t="s">
        <v>62</v>
      </c>
      <c r="G25" s="13" t="s">
        <v>344</v>
      </c>
      <c r="H25" s="13" t="s">
        <v>331</v>
      </c>
      <c r="I25" s="13" t="s">
        <v>105</v>
      </c>
      <c r="J25" s="13" t="s">
        <v>148</v>
      </c>
      <c r="K25" s="13" t="s">
        <v>150</v>
      </c>
      <c r="L25" s="10" t="s">
        <v>545</v>
      </c>
      <c r="M25" s="13" t="s">
        <v>165</v>
      </c>
      <c r="N25" s="11"/>
      <c r="O25" s="15"/>
      <c r="P25" s="15"/>
      <c r="Q25" s="15"/>
      <c r="R25" s="15"/>
      <c r="S25" s="15"/>
      <c r="T25" s="15"/>
      <c r="U25" s="15"/>
      <c r="V25" s="15"/>
      <c r="W25" s="15"/>
      <c r="X25" s="15"/>
      <c r="Y25" s="14"/>
      <c r="Z25" s="15"/>
      <c r="AA25" s="15"/>
      <c r="AB25" s="15"/>
      <c r="AC25" s="15"/>
      <c r="AD25" s="15"/>
      <c r="AE25" s="15"/>
      <c r="AF25" s="15"/>
      <c r="AG25" s="15"/>
      <c r="AH25" s="15"/>
      <c r="AI25" s="15"/>
      <c r="AJ25" s="15"/>
    </row>
    <row r="26" ht="27.75" customHeight="1">
      <c r="A26" s="9" t="s">
        <v>562</v>
      </c>
      <c r="B26" s="10" t="s">
        <v>546</v>
      </c>
      <c r="C26" s="11" t="s">
        <v>564</v>
      </c>
      <c r="D26" s="11" t="s">
        <v>565</v>
      </c>
      <c r="E26" s="10" t="s">
        <v>53</v>
      </c>
      <c r="F26" s="13" t="s">
        <v>343</v>
      </c>
      <c r="G26" s="13" t="s">
        <v>344</v>
      </c>
      <c r="H26" s="13" t="s">
        <v>345</v>
      </c>
      <c r="I26" s="13" t="s">
        <v>105</v>
      </c>
      <c r="J26" s="13" t="s">
        <v>148</v>
      </c>
      <c r="K26" s="13" t="s">
        <v>150</v>
      </c>
      <c r="L26" s="10" t="s">
        <v>554</v>
      </c>
      <c r="M26" s="13" t="s">
        <v>165</v>
      </c>
      <c r="N26" s="11"/>
      <c r="O26" s="15"/>
      <c r="P26" s="15"/>
      <c r="Q26" s="15"/>
      <c r="R26" s="15"/>
      <c r="S26" s="15"/>
      <c r="T26" s="15"/>
      <c r="U26" s="15"/>
      <c r="V26" s="15"/>
      <c r="W26" s="15"/>
      <c r="X26" s="15"/>
      <c r="Y26" s="14"/>
      <c r="Z26" s="14"/>
      <c r="AA26" s="15"/>
      <c r="AB26" s="15"/>
      <c r="AC26" s="15"/>
      <c r="AD26" s="15"/>
      <c r="AE26" s="15"/>
      <c r="AF26" s="15"/>
      <c r="AG26" s="15"/>
      <c r="AH26" s="15"/>
      <c r="AI26" s="15"/>
      <c r="AJ26" s="15"/>
    </row>
    <row r="27" ht="27.75" customHeight="1">
      <c r="A27" s="9" t="s">
        <v>571</v>
      </c>
      <c r="B27" s="10" t="s">
        <v>546</v>
      </c>
      <c r="C27" s="11" t="s">
        <v>573</v>
      </c>
      <c r="D27" s="11" t="s">
        <v>575</v>
      </c>
      <c r="E27" s="10" t="s">
        <v>53</v>
      </c>
      <c r="F27" s="13" t="s">
        <v>63</v>
      </c>
      <c r="G27" s="13" t="s">
        <v>360</v>
      </c>
      <c r="H27" s="13" t="s">
        <v>345</v>
      </c>
      <c r="I27" s="13" t="s">
        <v>105</v>
      </c>
      <c r="J27" s="13" t="s">
        <v>148</v>
      </c>
      <c r="K27" s="13" t="s">
        <v>150</v>
      </c>
      <c r="L27" s="10" t="s">
        <v>562</v>
      </c>
      <c r="M27" s="13" t="s">
        <v>112</v>
      </c>
      <c r="N27" s="11" t="s">
        <v>578</v>
      </c>
      <c r="O27" s="15"/>
      <c r="P27" s="15"/>
      <c r="Q27" s="15"/>
      <c r="R27" s="15"/>
      <c r="S27" s="15"/>
      <c r="T27" s="15"/>
      <c r="U27" s="15"/>
      <c r="V27" s="15"/>
      <c r="W27" s="15"/>
      <c r="X27" s="15"/>
      <c r="Y27" s="15"/>
      <c r="Z27" s="14"/>
      <c r="AA27" s="15"/>
      <c r="AB27" s="15"/>
      <c r="AC27" s="15"/>
      <c r="AD27" s="15"/>
      <c r="AE27" s="15"/>
      <c r="AF27" s="15"/>
      <c r="AG27" s="15"/>
      <c r="AH27" s="15"/>
      <c r="AI27" s="15"/>
      <c r="AJ27" s="15"/>
    </row>
    <row r="28" ht="27.75" customHeight="1">
      <c r="A28" s="9" t="s">
        <v>582</v>
      </c>
      <c r="B28" s="10" t="s">
        <v>546</v>
      </c>
      <c r="C28" s="11" t="s">
        <v>584</v>
      </c>
      <c r="D28" s="11" t="s">
        <v>585</v>
      </c>
      <c r="E28" s="10" t="s">
        <v>53</v>
      </c>
      <c r="F28" s="13" t="s">
        <v>358</v>
      </c>
      <c r="G28" s="13" t="s">
        <v>360</v>
      </c>
      <c r="H28" s="13" t="s">
        <v>361</v>
      </c>
      <c r="I28" s="13" t="s">
        <v>105</v>
      </c>
      <c r="J28" s="13" t="s">
        <v>148</v>
      </c>
      <c r="K28" s="13" t="s">
        <v>150</v>
      </c>
      <c r="L28" s="10" t="s">
        <v>562</v>
      </c>
      <c r="M28" s="13" t="s">
        <v>165</v>
      </c>
      <c r="N28" s="11"/>
      <c r="O28" s="15"/>
      <c r="P28" s="15"/>
      <c r="Q28" s="15"/>
      <c r="R28" s="15"/>
      <c r="S28" s="15"/>
      <c r="T28" s="15"/>
      <c r="U28" s="15"/>
      <c r="V28" s="15"/>
      <c r="W28" s="15"/>
      <c r="X28" s="15"/>
      <c r="Y28" s="15"/>
      <c r="Z28" s="14"/>
      <c r="AA28" s="14"/>
      <c r="AB28" s="15"/>
      <c r="AC28" s="15"/>
      <c r="AD28" s="15"/>
      <c r="AE28" s="15"/>
      <c r="AF28" s="15"/>
      <c r="AG28" s="15"/>
      <c r="AH28" s="15"/>
      <c r="AI28" s="15"/>
      <c r="AJ28" s="15"/>
    </row>
    <row r="29" ht="27.75" customHeight="1">
      <c r="A29" s="9" t="s">
        <v>591</v>
      </c>
      <c r="B29" s="10" t="s">
        <v>546</v>
      </c>
      <c r="C29" s="11" t="s">
        <v>592</v>
      </c>
      <c r="D29" s="11" t="s">
        <v>593</v>
      </c>
      <c r="E29" s="10" t="s">
        <v>53</v>
      </c>
      <c r="F29" s="13" t="s">
        <v>65</v>
      </c>
      <c r="G29" s="13" t="s">
        <v>376</v>
      </c>
      <c r="H29" s="13" t="s">
        <v>361</v>
      </c>
      <c r="I29" s="13" t="s">
        <v>105</v>
      </c>
      <c r="J29" s="13" t="s">
        <v>148</v>
      </c>
      <c r="K29" s="13" t="s">
        <v>150</v>
      </c>
      <c r="L29" s="10" t="s">
        <v>545</v>
      </c>
      <c r="M29" s="13" t="s">
        <v>112</v>
      </c>
      <c r="N29" s="11" t="s">
        <v>595</v>
      </c>
      <c r="O29" s="15"/>
      <c r="P29" s="15"/>
      <c r="Q29" s="15"/>
      <c r="R29" s="15"/>
      <c r="S29" s="15"/>
      <c r="T29" s="15"/>
      <c r="U29" s="15"/>
      <c r="V29" s="15"/>
      <c r="W29" s="15"/>
      <c r="X29" s="15"/>
      <c r="Y29" s="15"/>
      <c r="Z29" s="15"/>
      <c r="AA29" s="14"/>
      <c r="AB29" s="15"/>
      <c r="AC29" s="15"/>
      <c r="AD29" s="15"/>
      <c r="AE29" s="15"/>
      <c r="AF29" s="15"/>
      <c r="AG29" s="15"/>
      <c r="AH29" s="15"/>
      <c r="AI29" s="15"/>
      <c r="AJ29" s="15"/>
    </row>
    <row r="30" ht="39.0" customHeight="1">
      <c r="A30" s="9" t="s">
        <v>599</v>
      </c>
      <c r="B30" s="10" t="s">
        <v>546</v>
      </c>
      <c r="C30" s="11" t="s">
        <v>600</v>
      </c>
      <c r="D30" s="11" t="s">
        <v>601</v>
      </c>
      <c r="E30" s="10" t="s">
        <v>53</v>
      </c>
      <c r="F30" s="13" t="s">
        <v>65</v>
      </c>
      <c r="G30" s="13" t="s">
        <v>376</v>
      </c>
      <c r="H30" s="13" t="s">
        <v>361</v>
      </c>
      <c r="I30" s="13" t="s">
        <v>260</v>
      </c>
      <c r="J30" s="13" t="s">
        <v>148</v>
      </c>
      <c r="K30" s="13" t="s">
        <v>150</v>
      </c>
      <c r="L30" s="10" t="s">
        <v>591</v>
      </c>
      <c r="M30" s="13" t="s">
        <v>112</v>
      </c>
      <c r="N30" s="11" t="s">
        <v>602</v>
      </c>
      <c r="O30" s="15"/>
      <c r="P30" s="15"/>
      <c r="Q30" s="15"/>
      <c r="R30" s="15"/>
      <c r="S30" s="15"/>
      <c r="T30" s="15"/>
      <c r="U30" s="15"/>
      <c r="V30" s="15"/>
      <c r="W30" s="15"/>
      <c r="X30" s="15"/>
      <c r="Y30" s="15"/>
      <c r="Z30" s="15"/>
      <c r="AA30" s="14"/>
      <c r="AB30" s="15"/>
      <c r="AC30" s="15"/>
      <c r="AD30" s="15"/>
      <c r="AE30" s="15"/>
      <c r="AF30" s="15"/>
      <c r="AG30" s="15"/>
      <c r="AH30" s="15"/>
      <c r="AI30" s="15"/>
      <c r="AJ30" s="15"/>
    </row>
    <row r="31" ht="27.75" customHeight="1">
      <c r="A31" s="9" t="s">
        <v>603</v>
      </c>
      <c r="B31" s="10" t="s">
        <v>604</v>
      </c>
      <c r="C31" s="11" t="s">
        <v>605</v>
      </c>
      <c r="D31" s="11" t="s">
        <v>607</v>
      </c>
      <c r="E31" s="10" t="s">
        <v>53</v>
      </c>
      <c r="F31" s="13" t="s">
        <v>69</v>
      </c>
      <c r="G31" s="13" t="s">
        <v>379</v>
      </c>
      <c r="H31" s="13" t="s">
        <v>377</v>
      </c>
      <c r="I31" s="13" t="s">
        <v>105</v>
      </c>
      <c r="J31" s="13" t="s">
        <v>148</v>
      </c>
      <c r="K31" s="13" t="s">
        <v>150</v>
      </c>
      <c r="L31" s="10" t="s">
        <v>571</v>
      </c>
      <c r="M31" s="13" t="s">
        <v>112</v>
      </c>
      <c r="N31" s="11" t="s">
        <v>608</v>
      </c>
      <c r="O31" s="15"/>
      <c r="P31" s="15"/>
      <c r="Q31" s="15"/>
      <c r="R31" s="15"/>
      <c r="S31" s="15"/>
      <c r="T31" s="15"/>
      <c r="U31" s="15"/>
      <c r="V31" s="15"/>
      <c r="W31" s="15"/>
      <c r="X31" s="15"/>
      <c r="Y31" s="15"/>
      <c r="Z31" s="15"/>
      <c r="AA31" s="15"/>
      <c r="AB31" s="14"/>
      <c r="AC31" s="15"/>
      <c r="AD31" s="15"/>
      <c r="AE31" s="15"/>
      <c r="AF31" s="15"/>
      <c r="AG31" s="15"/>
      <c r="AH31" s="15"/>
      <c r="AI31" s="15"/>
      <c r="AJ31" s="15"/>
    </row>
    <row r="32" ht="27.75" customHeight="1">
      <c r="A32" s="9" t="s">
        <v>612</v>
      </c>
      <c r="B32" s="10" t="s">
        <v>604</v>
      </c>
      <c r="C32" s="11" t="s">
        <v>613</v>
      </c>
      <c r="D32" s="11" t="s">
        <v>614</v>
      </c>
      <c r="E32" s="10" t="s">
        <v>53</v>
      </c>
      <c r="F32" s="13" t="s">
        <v>616</v>
      </c>
      <c r="G32" s="13" t="s">
        <v>379</v>
      </c>
      <c r="H32" s="13" t="s">
        <v>617</v>
      </c>
      <c r="I32" s="13" t="s">
        <v>105</v>
      </c>
      <c r="J32" s="13" t="s">
        <v>148</v>
      </c>
      <c r="K32" s="13" t="s">
        <v>150</v>
      </c>
      <c r="L32" s="10" t="s">
        <v>467</v>
      </c>
      <c r="M32" s="13" t="s">
        <v>165</v>
      </c>
      <c r="N32" s="11"/>
      <c r="O32" s="15"/>
      <c r="P32" s="15"/>
      <c r="Q32" s="15"/>
      <c r="R32" s="15"/>
      <c r="S32" s="15"/>
      <c r="T32" s="15"/>
      <c r="U32" s="15"/>
      <c r="V32" s="15"/>
      <c r="W32" s="15"/>
      <c r="X32" s="15"/>
      <c r="Y32" s="15"/>
      <c r="Z32" s="15"/>
      <c r="AA32" s="15"/>
      <c r="AB32" s="14"/>
      <c r="AC32" s="14"/>
      <c r="AD32" s="15"/>
      <c r="AE32" s="15"/>
      <c r="AF32" s="15"/>
      <c r="AG32" s="15"/>
      <c r="AH32" s="15"/>
      <c r="AI32" s="15"/>
      <c r="AJ32" s="15"/>
    </row>
    <row r="33" ht="27.75" customHeight="1">
      <c r="A33" s="9" t="s">
        <v>621</v>
      </c>
      <c r="B33" s="10" t="s">
        <v>604</v>
      </c>
      <c r="C33" s="11" t="s">
        <v>622</v>
      </c>
      <c r="D33" s="11" t="s">
        <v>623</v>
      </c>
      <c r="E33" s="10" t="s">
        <v>53</v>
      </c>
      <c r="F33" s="13" t="s">
        <v>71</v>
      </c>
      <c r="G33" s="13" t="s">
        <v>391</v>
      </c>
      <c r="H33" s="13" t="s">
        <v>617</v>
      </c>
      <c r="I33" s="13" t="s">
        <v>260</v>
      </c>
      <c r="J33" s="13" t="s">
        <v>148</v>
      </c>
      <c r="K33" s="13" t="s">
        <v>150</v>
      </c>
      <c r="L33" s="10" t="s">
        <v>603</v>
      </c>
      <c r="M33" s="13" t="s">
        <v>165</v>
      </c>
      <c r="N33" s="11"/>
      <c r="O33" s="15"/>
      <c r="P33" s="15"/>
      <c r="Q33" s="15"/>
      <c r="R33" s="15"/>
      <c r="S33" s="15"/>
      <c r="T33" s="15"/>
      <c r="U33" s="15"/>
      <c r="V33" s="15"/>
      <c r="W33" s="15"/>
      <c r="X33" s="15"/>
      <c r="Y33" s="15"/>
      <c r="Z33" s="15"/>
      <c r="AA33" s="15"/>
      <c r="AB33" s="15"/>
      <c r="AC33" s="14"/>
      <c r="AD33" s="15"/>
      <c r="AE33" s="15"/>
      <c r="AF33" s="15"/>
      <c r="AG33" s="15"/>
      <c r="AH33" s="15"/>
      <c r="AI33" s="15"/>
      <c r="AJ33" s="15"/>
    </row>
    <row r="34" ht="27.75" customHeight="1">
      <c r="A34" s="9" t="s">
        <v>625</v>
      </c>
      <c r="B34" s="10" t="s">
        <v>604</v>
      </c>
      <c r="C34" s="11" t="s">
        <v>626</v>
      </c>
      <c r="D34" s="11" t="s">
        <v>627</v>
      </c>
      <c r="E34" s="10" t="s">
        <v>53</v>
      </c>
      <c r="F34" s="13" t="s">
        <v>71</v>
      </c>
      <c r="G34" s="13" t="s">
        <v>391</v>
      </c>
      <c r="H34" s="13" t="s">
        <v>617</v>
      </c>
      <c r="I34" s="13" t="s">
        <v>260</v>
      </c>
      <c r="J34" s="13" t="s">
        <v>148</v>
      </c>
      <c r="K34" s="13" t="s">
        <v>150</v>
      </c>
      <c r="L34" s="10" t="s">
        <v>603</v>
      </c>
      <c r="M34" s="13" t="s">
        <v>165</v>
      </c>
      <c r="N34" s="11"/>
      <c r="O34" s="15"/>
      <c r="P34" s="15"/>
      <c r="Q34" s="15"/>
      <c r="R34" s="15"/>
      <c r="S34" s="15"/>
      <c r="T34" s="15"/>
      <c r="U34" s="15"/>
      <c r="V34" s="15"/>
      <c r="W34" s="15"/>
      <c r="X34" s="15"/>
      <c r="Y34" s="15"/>
      <c r="Z34" s="15"/>
      <c r="AA34" s="15"/>
      <c r="AB34" s="15"/>
      <c r="AC34" s="14"/>
      <c r="AD34" s="15"/>
      <c r="AE34" s="15"/>
      <c r="AF34" s="15"/>
      <c r="AG34" s="15"/>
      <c r="AH34" s="15"/>
      <c r="AI34" s="15"/>
      <c r="AJ34" s="15"/>
    </row>
    <row r="35" ht="27.75" customHeight="1">
      <c r="A35" s="9" t="s">
        <v>628</v>
      </c>
      <c r="B35" s="10" t="s">
        <v>604</v>
      </c>
      <c r="C35" s="11" t="s">
        <v>629</v>
      </c>
      <c r="D35" s="11" t="s">
        <v>630</v>
      </c>
      <c r="E35" s="10" t="s">
        <v>53</v>
      </c>
      <c r="F35" s="13" t="s">
        <v>72</v>
      </c>
      <c r="G35" s="13" t="s">
        <v>631</v>
      </c>
      <c r="H35" s="13" t="s">
        <v>393</v>
      </c>
      <c r="I35" s="13" t="s">
        <v>260</v>
      </c>
      <c r="J35" s="13" t="s">
        <v>148</v>
      </c>
      <c r="K35" s="13" t="s">
        <v>150</v>
      </c>
      <c r="L35" s="10" t="s">
        <v>621</v>
      </c>
      <c r="M35" s="13" t="s">
        <v>165</v>
      </c>
      <c r="N35" s="11"/>
      <c r="O35" s="15"/>
      <c r="P35" s="15"/>
      <c r="Q35" s="15"/>
      <c r="R35" s="15"/>
      <c r="S35" s="15"/>
      <c r="T35" s="15"/>
      <c r="U35" s="15"/>
      <c r="V35" s="15"/>
      <c r="W35" s="15"/>
      <c r="X35" s="15"/>
      <c r="Y35" s="15"/>
      <c r="Z35" s="15"/>
      <c r="AA35" s="15"/>
      <c r="AB35" s="15"/>
      <c r="AC35" s="15"/>
      <c r="AD35" s="14"/>
      <c r="AE35" s="15"/>
      <c r="AF35" s="15"/>
      <c r="AG35" s="15"/>
      <c r="AH35" s="15"/>
      <c r="AI35" s="15"/>
      <c r="AJ35" s="15"/>
    </row>
    <row r="36" ht="27.75" customHeight="1">
      <c r="A36" s="9" t="s">
        <v>632</v>
      </c>
      <c r="B36" s="10" t="s">
        <v>86</v>
      </c>
      <c r="C36" s="11" t="s">
        <v>633</v>
      </c>
      <c r="D36" s="11" t="s">
        <v>634</v>
      </c>
      <c r="E36" s="10" t="s">
        <v>53</v>
      </c>
      <c r="F36" s="13" t="s">
        <v>635</v>
      </c>
      <c r="G36" s="13" t="s">
        <v>631</v>
      </c>
      <c r="H36" s="13" t="s">
        <v>557</v>
      </c>
      <c r="I36" s="13" t="s">
        <v>105</v>
      </c>
      <c r="J36" s="13" t="s">
        <v>148</v>
      </c>
      <c r="K36" s="13" t="s">
        <v>150</v>
      </c>
      <c r="L36" s="10" t="s">
        <v>364</v>
      </c>
      <c r="M36" s="13" t="s">
        <v>112</v>
      </c>
      <c r="N36" s="11" t="s">
        <v>636</v>
      </c>
      <c r="O36" s="15"/>
      <c r="P36" s="15"/>
      <c r="Q36" s="15"/>
      <c r="R36" s="15"/>
      <c r="S36" s="15"/>
      <c r="T36" s="15"/>
      <c r="U36" s="15"/>
      <c r="V36" s="15"/>
      <c r="W36" s="15"/>
      <c r="X36" s="15"/>
      <c r="Y36" s="15"/>
      <c r="Z36" s="15"/>
      <c r="AA36" s="15"/>
      <c r="AB36" s="15"/>
      <c r="AC36" s="15"/>
      <c r="AD36" s="14"/>
      <c r="AE36" s="14"/>
      <c r="AF36" s="15"/>
      <c r="AG36" s="15"/>
      <c r="AH36" s="15"/>
      <c r="AI36" s="15"/>
      <c r="AJ36" s="15"/>
    </row>
    <row r="37" ht="27.75" customHeight="1">
      <c r="A37" s="9" t="s">
        <v>606</v>
      </c>
      <c r="B37" s="10" t="s">
        <v>86</v>
      </c>
      <c r="C37" s="11" t="s">
        <v>637</v>
      </c>
      <c r="D37" s="11" t="s">
        <v>638</v>
      </c>
      <c r="E37" s="10" t="s">
        <v>53</v>
      </c>
      <c r="F37" s="13" t="s">
        <v>73</v>
      </c>
      <c r="G37" s="13" t="s">
        <v>567</v>
      </c>
      <c r="H37" s="13" t="s">
        <v>557</v>
      </c>
      <c r="I37" s="13" t="s">
        <v>105</v>
      </c>
      <c r="J37" s="13" t="s">
        <v>148</v>
      </c>
      <c r="K37" s="13" t="s">
        <v>150</v>
      </c>
      <c r="L37" s="10" t="s">
        <v>632</v>
      </c>
      <c r="M37" s="13" t="s">
        <v>165</v>
      </c>
      <c r="N37" s="11" t="s">
        <v>639</v>
      </c>
      <c r="O37" s="15"/>
      <c r="P37" s="15"/>
      <c r="Q37" s="15"/>
      <c r="R37" s="15"/>
      <c r="S37" s="15"/>
      <c r="T37" s="15"/>
      <c r="U37" s="15"/>
      <c r="V37" s="15"/>
      <c r="W37" s="15"/>
      <c r="X37" s="15"/>
      <c r="Y37" s="15"/>
      <c r="Z37" s="15"/>
      <c r="AA37" s="15"/>
      <c r="AB37" s="15"/>
      <c r="AC37" s="15"/>
      <c r="AD37" s="15"/>
      <c r="AE37" s="14"/>
      <c r="AF37" s="15"/>
      <c r="AG37" s="15"/>
      <c r="AH37" s="15"/>
      <c r="AI37" s="15"/>
      <c r="AJ37" s="15"/>
    </row>
    <row r="38" ht="27.75" customHeight="1">
      <c r="A38" s="9" t="s">
        <v>640</v>
      </c>
      <c r="B38" s="10" t="s">
        <v>86</v>
      </c>
      <c r="C38" s="11" t="s">
        <v>641</v>
      </c>
      <c r="D38" s="11" t="s">
        <v>642</v>
      </c>
      <c r="E38" s="10" t="s">
        <v>53</v>
      </c>
      <c r="F38" s="13" t="s">
        <v>566</v>
      </c>
      <c r="G38" s="13" t="s">
        <v>567</v>
      </c>
      <c r="H38" s="13" t="s">
        <v>568</v>
      </c>
      <c r="I38" s="13" t="s">
        <v>260</v>
      </c>
      <c r="J38" s="13" t="s">
        <v>148</v>
      </c>
      <c r="K38" s="13" t="s">
        <v>150</v>
      </c>
      <c r="L38" s="10" t="s">
        <v>606</v>
      </c>
      <c r="M38" s="13" t="s">
        <v>165</v>
      </c>
      <c r="N38" s="11"/>
      <c r="O38" s="15"/>
      <c r="P38" s="15"/>
      <c r="Q38" s="15"/>
      <c r="R38" s="15"/>
      <c r="S38" s="15"/>
      <c r="T38" s="15"/>
      <c r="U38" s="15"/>
      <c r="V38" s="15"/>
      <c r="W38" s="15"/>
      <c r="X38" s="15"/>
      <c r="Y38" s="15"/>
      <c r="Z38" s="15"/>
      <c r="AA38" s="15"/>
      <c r="AB38" s="15"/>
      <c r="AC38" s="15"/>
      <c r="AD38" s="15"/>
      <c r="AE38" s="14"/>
      <c r="AF38" s="14"/>
      <c r="AG38" s="15"/>
      <c r="AH38" s="15"/>
      <c r="AI38" s="15"/>
      <c r="AJ38" s="15"/>
    </row>
    <row r="39" ht="27.75" customHeight="1">
      <c r="A39" s="9" t="s">
        <v>643</v>
      </c>
      <c r="B39" s="10" t="s">
        <v>446</v>
      </c>
      <c r="C39" s="11" t="s">
        <v>644</v>
      </c>
      <c r="D39" s="11" t="s">
        <v>645</v>
      </c>
      <c r="E39" s="10" t="s">
        <v>53</v>
      </c>
      <c r="F39" s="13" t="s">
        <v>586</v>
      </c>
      <c r="G39" s="13" t="s">
        <v>576</v>
      </c>
      <c r="H39" s="13" t="s">
        <v>363</v>
      </c>
      <c r="I39" s="13" t="s">
        <v>260</v>
      </c>
      <c r="J39" s="13" t="s">
        <v>148</v>
      </c>
      <c r="K39" s="13" t="s">
        <v>150</v>
      </c>
      <c r="L39" s="10" t="s">
        <v>467</v>
      </c>
      <c r="M39" s="13" t="s">
        <v>165</v>
      </c>
      <c r="N39" s="11"/>
      <c r="O39" s="15"/>
      <c r="P39" s="15"/>
      <c r="Q39" s="15"/>
      <c r="R39" s="15"/>
      <c r="S39" s="15"/>
      <c r="T39" s="15"/>
      <c r="U39" s="15"/>
      <c r="V39" s="15"/>
      <c r="W39" s="15"/>
      <c r="X39" s="15"/>
      <c r="Y39" s="15"/>
      <c r="Z39" s="15"/>
      <c r="AA39" s="15"/>
      <c r="AB39" s="15"/>
      <c r="AC39" s="15"/>
      <c r="AD39" s="15"/>
      <c r="AE39" s="15"/>
      <c r="AF39" s="14"/>
      <c r="AG39" s="14"/>
      <c r="AH39" s="15"/>
      <c r="AI39" s="15"/>
      <c r="AJ39" s="15"/>
    </row>
    <row r="40" ht="27.75" customHeight="1">
      <c r="A40" s="9" t="s">
        <v>646</v>
      </c>
      <c r="B40" s="10" t="s">
        <v>446</v>
      </c>
      <c r="C40" s="11" t="s">
        <v>647</v>
      </c>
      <c r="D40" s="11" t="s">
        <v>648</v>
      </c>
      <c r="E40" s="10" t="s">
        <v>53</v>
      </c>
      <c r="F40" s="13" t="s">
        <v>649</v>
      </c>
      <c r="G40" s="13" t="s">
        <v>418</v>
      </c>
      <c r="H40" s="13" t="s">
        <v>421</v>
      </c>
      <c r="I40" s="13" t="s">
        <v>105</v>
      </c>
      <c r="J40" s="13" t="s">
        <v>148</v>
      </c>
      <c r="K40" s="13" t="s">
        <v>150</v>
      </c>
      <c r="L40" s="10"/>
      <c r="M40" s="13" t="s">
        <v>165</v>
      </c>
      <c r="N40" s="11"/>
      <c r="O40" s="15"/>
      <c r="P40" s="15"/>
      <c r="Q40" s="15"/>
      <c r="R40" s="15"/>
      <c r="S40" s="15"/>
      <c r="T40" s="15"/>
      <c r="U40" s="15"/>
      <c r="V40" s="15"/>
      <c r="W40" s="15"/>
      <c r="X40" s="15"/>
      <c r="Y40" s="15"/>
      <c r="Z40" s="15"/>
      <c r="AA40" s="15"/>
      <c r="AB40" s="15"/>
      <c r="AC40" s="15"/>
      <c r="AD40" s="15"/>
      <c r="AE40" s="15"/>
      <c r="AF40" s="15"/>
      <c r="AG40" s="14"/>
      <c r="AH40" s="14"/>
      <c r="AI40" s="14"/>
      <c r="AJ40" s="15"/>
    </row>
    <row r="41" ht="27.75" customHeight="1">
      <c r="A41" s="9" t="s">
        <v>650</v>
      </c>
      <c r="B41" s="10" t="s">
        <v>446</v>
      </c>
      <c r="C41" s="11" t="s">
        <v>651</v>
      </c>
      <c r="D41" s="11" t="s">
        <v>652</v>
      </c>
      <c r="E41" s="10" t="s">
        <v>53</v>
      </c>
      <c r="F41" s="13" t="s">
        <v>451</v>
      </c>
      <c r="G41" s="13" t="s">
        <v>452</v>
      </c>
      <c r="H41" s="13" t="s">
        <v>453</v>
      </c>
      <c r="I41" s="13" t="s">
        <v>105</v>
      </c>
      <c r="J41" s="13" t="s">
        <v>148</v>
      </c>
      <c r="K41" s="13" t="s">
        <v>150</v>
      </c>
      <c r="L41" s="10"/>
      <c r="M41" s="13" t="s">
        <v>165</v>
      </c>
      <c r="N41" s="11"/>
      <c r="O41" s="15"/>
      <c r="P41" s="15"/>
      <c r="Q41" s="15"/>
      <c r="R41" s="15"/>
      <c r="S41" s="15"/>
      <c r="T41" s="15"/>
      <c r="U41" s="15"/>
      <c r="V41" s="15"/>
      <c r="W41" s="15"/>
      <c r="X41" s="15"/>
      <c r="Y41" s="15"/>
      <c r="Z41" s="15"/>
      <c r="AA41" s="15"/>
      <c r="AB41" s="15"/>
      <c r="AC41" s="15"/>
      <c r="AD41" s="15"/>
      <c r="AE41" s="15"/>
      <c r="AF41" s="15"/>
      <c r="AG41" s="15"/>
      <c r="AH41" s="15"/>
      <c r="AI41" s="14"/>
      <c r="AJ41" s="14"/>
    </row>
    <row r="42" ht="27.75" customHeight="1">
      <c r="A42" s="9" t="s">
        <v>653</v>
      </c>
      <c r="B42" s="10" t="s">
        <v>446</v>
      </c>
      <c r="C42" s="11" t="s">
        <v>654</v>
      </c>
      <c r="D42" s="11" t="s">
        <v>655</v>
      </c>
      <c r="E42" s="10" t="s">
        <v>53</v>
      </c>
      <c r="F42" s="13" t="s">
        <v>451</v>
      </c>
      <c r="G42" s="13" t="s">
        <v>452</v>
      </c>
      <c r="H42" s="13" t="s">
        <v>453</v>
      </c>
      <c r="I42" s="13" t="s">
        <v>105</v>
      </c>
      <c r="J42" s="13" t="s">
        <v>148</v>
      </c>
      <c r="K42" s="13" t="s">
        <v>150</v>
      </c>
      <c r="L42" s="10"/>
      <c r="M42" s="13" t="s">
        <v>112</v>
      </c>
      <c r="N42" s="11" t="s">
        <v>656</v>
      </c>
      <c r="O42" s="15"/>
      <c r="P42" s="15"/>
      <c r="Q42" s="15"/>
      <c r="R42" s="15"/>
      <c r="S42" s="15"/>
      <c r="T42" s="15"/>
      <c r="U42" s="15"/>
      <c r="V42" s="15"/>
      <c r="W42" s="15"/>
      <c r="X42" s="15"/>
      <c r="Y42" s="15"/>
      <c r="Z42" s="15"/>
      <c r="AA42" s="15"/>
      <c r="AB42" s="15"/>
      <c r="AC42" s="15"/>
      <c r="AD42" s="15"/>
      <c r="AE42" s="15"/>
      <c r="AF42" s="15"/>
      <c r="AG42" s="15"/>
      <c r="AH42" s="15"/>
      <c r="AI42" s="14"/>
      <c r="AJ42" s="14"/>
    </row>
    <row r="43" ht="51.75" customHeight="1">
      <c r="A43" s="16" t="s">
        <v>657</v>
      </c>
      <c r="B43" s="17" t="s">
        <v>513</v>
      </c>
      <c r="C43" s="18" t="s">
        <v>658</v>
      </c>
      <c r="D43" s="18" t="s">
        <v>659</v>
      </c>
      <c r="E43" s="17" t="s">
        <v>53</v>
      </c>
      <c r="F43" s="19" t="s">
        <v>58</v>
      </c>
      <c r="G43" s="19" t="s">
        <v>294</v>
      </c>
      <c r="H43" s="19" t="s">
        <v>283</v>
      </c>
      <c r="I43" s="19" t="s">
        <v>105</v>
      </c>
      <c r="J43" s="19" t="s">
        <v>148</v>
      </c>
      <c r="K43" s="19" t="s">
        <v>150</v>
      </c>
      <c r="L43" s="17" t="s">
        <v>512</v>
      </c>
      <c r="M43" s="19" t="s">
        <v>174</v>
      </c>
      <c r="N43" s="18" t="s">
        <v>660</v>
      </c>
      <c r="O43" s="15"/>
      <c r="P43" s="15"/>
      <c r="Q43" s="15"/>
      <c r="R43" s="15"/>
      <c r="S43" s="15"/>
      <c r="T43" s="15"/>
      <c r="U43" s="15"/>
      <c r="V43" s="15"/>
      <c r="W43" s="14"/>
      <c r="X43" s="15"/>
      <c r="Y43" s="15"/>
      <c r="Z43" s="15"/>
      <c r="AA43" s="15"/>
      <c r="AB43" s="15"/>
      <c r="AC43" s="15"/>
      <c r="AD43" s="15"/>
      <c r="AE43" s="15"/>
      <c r="AF43" s="15"/>
      <c r="AG43" s="15"/>
      <c r="AH43" s="15"/>
      <c r="AI43" s="15"/>
      <c r="AJ43" s="15"/>
    </row>
    <row r="44" ht="39.0" customHeight="1">
      <c r="A44" s="16" t="s">
        <v>661</v>
      </c>
      <c r="B44" s="17" t="s">
        <v>513</v>
      </c>
      <c r="C44" s="18" t="s">
        <v>662</v>
      </c>
      <c r="D44" s="18" t="s">
        <v>663</v>
      </c>
      <c r="E44" s="17" t="s">
        <v>53</v>
      </c>
      <c r="F44" s="19" t="s">
        <v>69</v>
      </c>
      <c r="G44" s="19" t="s">
        <v>379</v>
      </c>
      <c r="H44" s="19" t="s">
        <v>377</v>
      </c>
      <c r="I44" s="19" t="s">
        <v>105</v>
      </c>
      <c r="J44" s="19" t="s">
        <v>148</v>
      </c>
      <c r="K44" s="19" t="s">
        <v>150</v>
      </c>
      <c r="L44" s="17" t="s">
        <v>512</v>
      </c>
      <c r="M44" s="19" t="s">
        <v>174</v>
      </c>
      <c r="N44" s="18" t="s">
        <v>664</v>
      </c>
      <c r="O44" s="15"/>
      <c r="P44" s="15"/>
      <c r="Q44" s="15"/>
      <c r="R44" s="15"/>
      <c r="S44" s="15"/>
      <c r="T44" s="15"/>
      <c r="U44" s="15"/>
      <c r="V44" s="15"/>
      <c r="W44" s="15"/>
      <c r="X44" s="15"/>
      <c r="Y44" s="15"/>
      <c r="Z44" s="15"/>
      <c r="AA44" s="15"/>
      <c r="AB44" s="14"/>
      <c r="AC44" s="15"/>
      <c r="AD44" s="15"/>
      <c r="AE44" s="15"/>
      <c r="AF44" s="15"/>
      <c r="AG44" s="15"/>
      <c r="AH44" s="15"/>
      <c r="AI44" s="15"/>
      <c r="AJ44" s="15"/>
    </row>
    <row r="45" ht="39.0" customHeight="1">
      <c r="A45" s="16" t="s">
        <v>539</v>
      </c>
      <c r="B45" s="17" t="s">
        <v>479</v>
      </c>
      <c r="C45" s="18" t="s">
        <v>665</v>
      </c>
      <c r="D45" s="18" t="s">
        <v>666</v>
      </c>
      <c r="E45" s="17" t="s">
        <v>53</v>
      </c>
      <c r="F45" s="19" t="s">
        <v>50</v>
      </c>
      <c r="G45" s="19" t="s">
        <v>223</v>
      </c>
      <c r="H45" s="19" t="s">
        <v>210</v>
      </c>
      <c r="I45" s="19" t="s">
        <v>105</v>
      </c>
      <c r="J45" s="20" t="s">
        <v>108</v>
      </c>
      <c r="K45" s="21">
        <v>1.0</v>
      </c>
      <c r="L45" s="17" t="s">
        <v>383</v>
      </c>
      <c r="M45" s="19" t="s">
        <v>174</v>
      </c>
      <c r="N45" s="18" t="s">
        <v>667</v>
      </c>
      <c r="O45" s="15"/>
      <c r="P45" s="15"/>
      <c r="Q45" s="15"/>
      <c r="R45" s="15"/>
      <c r="S45" s="14"/>
      <c r="T45" s="15"/>
      <c r="U45" s="15"/>
      <c r="V45" s="15"/>
      <c r="W45" s="15"/>
      <c r="X45" s="15"/>
      <c r="Y45" s="15"/>
      <c r="Z45" s="15"/>
      <c r="AA45" s="15"/>
      <c r="AB45" s="15"/>
      <c r="AC45" s="15"/>
      <c r="AD45" s="15"/>
      <c r="AE45" s="15"/>
      <c r="AF45" s="15"/>
      <c r="AG45" s="15"/>
      <c r="AH45" s="15"/>
      <c r="AI45" s="15"/>
      <c r="AJ45" s="15"/>
    </row>
    <row r="46" ht="51.75" customHeight="1">
      <c r="A46" s="16" t="s">
        <v>668</v>
      </c>
      <c r="B46" s="17" t="s">
        <v>153</v>
      </c>
      <c r="C46" s="18" t="s">
        <v>669</v>
      </c>
      <c r="D46" s="18" t="s">
        <v>670</v>
      </c>
      <c r="E46" s="17" t="s">
        <v>53</v>
      </c>
      <c r="F46" s="19" t="s">
        <v>390</v>
      </c>
      <c r="G46" s="19" t="s">
        <v>391</v>
      </c>
      <c r="H46" s="19" t="s">
        <v>393</v>
      </c>
      <c r="I46" s="19" t="s">
        <v>105</v>
      </c>
      <c r="J46" s="19" t="s">
        <v>148</v>
      </c>
      <c r="K46" s="19" t="s">
        <v>150</v>
      </c>
      <c r="L46" s="17" t="s">
        <v>582</v>
      </c>
      <c r="M46" s="19" t="s">
        <v>174</v>
      </c>
      <c r="N46" s="18" t="s">
        <v>671</v>
      </c>
      <c r="O46" s="15"/>
      <c r="P46" s="15"/>
      <c r="Q46" s="15"/>
      <c r="R46" s="15"/>
      <c r="S46" s="15"/>
      <c r="T46" s="15"/>
      <c r="U46" s="15"/>
      <c r="V46" s="15"/>
      <c r="W46" s="15"/>
      <c r="X46" s="15"/>
      <c r="Y46" s="15"/>
      <c r="Z46" s="15"/>
      <c r="AA46" s="15"/>
      <c r="AB46" s="15"/>
      <c r="AC46" s="14"/>
      <c r="AD46" s="14"/>
      <c r="AE46" s="15"/>
      <c r="AF46" s="15"/>
      <c r="AG46" s="15"/>
      <c r="AH46" s="15"/>
      <c r="AI46" s="15"/>
      <c r="AJ46" s="15"/>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46"/>
  <mergeCells count="1">
    <mergeCell ref="A1:AJ1"/>
  </mergeCells>
  <conditionalFormatting sqref="J3:J46">
    <cfRule type="cellIs" dxfId="0" priority="1" operator="equal">
      <formula>"Hoàn thành"</formula>
    </cfRule>
  </conditionalFormatting>
  <conditionalFormatting sqref="J3:J46">
    <cfRule type="cellIs" dxfId="1" priority="2" operator="equal">
      <formula>"Đang làm"</formula>
    </cfRule>
  </conditionalFormatting>
  <conditionalFormatting sqref="J3:J46">
    <cfRule type="cellIs" dxfId="2" priority="3" operator="equal">
      <formula>"Đang review"</formula>
    </cfRule>
  </conditionalFormatting>
  <conditionalFormatting sqref="J3:J46">
    <cfRule type="cellIs" dxfId="3" priority="4" operator="equal">
      <formula>"Bị chặn"</formula>
    </cfRule>
  </conditionalFormatting>
  <conditionalFormatting sqref="J3:J46">
    <cfRule type="cellIs" dxfId="4" priority="5" operator="equal">
      <formula>"Chưa bắt đầu"</formula>
    </cfRule>
  </conditionalFormatting>
  <dataValidations>
    <dataValidation type="list" allowBlank="1" sqref="E3:E46">
      <formula1>"BE1 – Mỹ,BE2 – Đạt,FE1 – Thịnh,FE2 – Ngọc,FE3 – Khang,Cả nhóm,Chưa gán"</formula1>
    </dataValidation>
    <dataValidation type="list" allowBlank="1" sqref="J3:J46">
      <formula1>"Chưa bắt đầu,Đang làm,Đang review,Hoàn thành,Bị chặn"</formula1>
    </dataValidation>
    <dataValidation type="list" allowBlank="1" sqref="I3:I46">
      <formula1>"Cao,Trung bình,Thấp"</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46.0"/>
    <col customWidth="1" min="4" max="4" width="52.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2.0"/>
    <col customWidth="1" min="15" max="36" width="4.14"/>
  </cols>
  <sheetData>
    <row r="1" ht="21.75" customHeight="1">
      <c r="A1" s="3" t="s">
        <v>9</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8" t="s">
        <v>16</v>
      </c>
      <c r="B2" s="8" t="s">
        <v>22</v>
      </c>
      <c r="C2" s="8" t="s">
        <v>23</v>
      </c>
      <c r="D2" s="8" t="s">
        <v>25</v>
      </c>
      <c r="E2" s="8" t="s">
        <v>27</v>
      </c>
      <c r="F2" s="8" t="s">
        <v>29</v>
      </c>
      <c r="G2" s="8" t="s">
        <v>31</v>
      </c>
      <c r="H2" s="8" t="s">
        <v>32</v>
      </c>
      <c r="I2" s="8" t="s">
        <v>35</v>
      </c>
      <c r="J2" s="8" t="s">
        <v>37</v>
      </c>
      <c r="K2" s="8" t="s">
        <v>39</v>
      </c>
      <c r="L2" s="8" t="s">
        <v>40</v>
      </c>
      <c r="M2" s="8" t="s">
        <v>42</v>
      </c>
      <c r="N2" s="8" t="s">
        <v>43</v>
      </c>
      <c r="O2" s="8" t="s">
        <v>44</v>
      </c>
      <c r="P2" s="8" t="s">
        <v>45</v>
      </c>
      <c r="Q2" s="8" t="s">
        <v>46</v>
      </c>
      <c r="R2" s="8" t="s">
        <v>48</v>
      </c>
      <c r="S2" s="8" t="s">
        <v>50</v>
      </c>
      <c r="T2" s="8" t="s">
        <v>51</v>
      </c>
      <c r="U2" s="8" t="s">
        <v>54</v>
      </c>
      <c r="V2" s="8" t="s">
        <v>56</v>
      </c>
      <c r="W2" s="8" t="s">
        <v>58</v>
      </c>
      <c r="X2" s="8" t="s">
        <v>59</v>
      </c>
      <c r="Y2" s="8" t="s">
        <v>62</v>
      </c>
      <c r="Z2" s="8" t="s">
        <v>63</v>
      </c>
      <c r="AA2" s="8" t="s">
        <v>65</v>
      </c>
      <c r="AB2" s="8" t="s">
        <v>69</v>
      </c>
      <c r="AC2" s="8" t="s">
        <v>71</v>
      </c>
      <c r="AD2" s="8" t="s">
        <v>72</v>
      </c>
      <c r="AE2" s="8" t="s">
        <v>73</v>
      </c>
      <c r="AF2" s="8" t="s">
        <v>74</v>
      </c>
      <c r="AG2" s="8" t="s">
        <v>76</v>
      </c>
      <c r="AH2" s="8" t="s">
        <v>78</v>
      </c>
      <c r="AI2" s="8" t="s">
        <v>80</v>
      </c>
      <c r="AJ2" s="8" t="s">
        <v>82</v>
      </c>
    </row>
    <row r="3" ht="27.75" customHeight="1">
      <c r="A3" s="9" t="s">
        <v>118</v>
      </c>
      <c r="B3" s="10" t="s">
        <v>120</v>
      </c>
      <c r="C3" s="11" t="s">
        <v>124</v>
      </c>
      <c r="D3" s="11" t="s">
        <v>127</v>
      </c>
      <c r="E3" s="10" t="s">
        <v>138</v>
      </c>
      <c r="F3" s="13" t="s">
        <v>144</v>
      </c>
      <c r="G3" s="13" t="s">
        <v>147</v>
      </c>
      <c r="H3" s="13" t="s">
        <v>151</v>
      </c>
      <c r="I3" s="13" t="s">
        <v>105</v>
      </c>
      <c r="J3" s="13" t="s">
        <v>148</v>
      </c>
      <c r="K3" s="13" t="s">
        <v>150</v>
      </c>
      <c r="L3" s="10" t="s">
        <v>161</v>
      </c>
      <c r="M3" s="13" t="s">
        <v>165</v>
      </c>
      <c r="N3" s="11" t="s">
        <v>169</v>
      </c>
      <c r="O3" s="15"/>
      <c r="P3" s="14"/>
      <c r="Q3" s="14"/>
      <c r="R3" s="15"/>
      <c r="S3" s="15"/>
      <c r="T3" s="15"/>
      <c r="U3" s="15"/>
      <c r="V3" s="15"/>
      <c r="W3" s="15"/>
      <c r="X3" s="15"/>
      <c r="Y3" s="15"/>
      <c r="Z3" s="15"/>
      <c r="AA3" s="15"/>
      <c r="AB3" s="15"/>
      <c r="AC3" s="15"/>
      <c r="AD3" s="15"/>
      <c r="AE3" s="15"/>
      <c r="AF3" s="15"/>
      <c r="AG3" s="15"/>
      <c r="AH3" s="15"/>
      <c r="AI3" s="15"/>
      <c r="AJ3" s="15"/>
    </row>
    <row r="4" ht="51.75" customHeight="1">
      <c r="A4" s="9" t="s">
        <v>187</v>
      </c>
      <c r="B4" s="10" t="s">
        <v>120</v>
      </c>
      <c r="C4" s="11" t="s">
        <v>189</v>
      </c>
      <c r="D4" s="11" t="s">
        <v>190</v>
      </c>
      <c r="E4" s="10" t="s">
        <v>138</v>
      </c>
      <c r="F4" s="13" t="s">
        <v>46</v>
      </c>
      <c r="G4" s="13" t="s">
        <v>193</v>
      </c>
      <c r="H4" s="13" t="s">
        <v>151</v>
      </c>
      <c r="I4" s="13" t="s">
        <v>105</v>
      </c>
      <c r="J4" s="13" t="s">
        <v>148</v>
      </c>
      <c r="K4" s="13" t="s">
        <v>150</v>
      </c>
      <c r="L4" s="10" t="s">
        <v>118</v>
      </c>
      <c r="M4" s="13" t="s">
        <v>112</v>
      </c>
      <c r="N4" s="11" t="s">
        <v>196</v>
      </c>
      <c r="O4" s="15"/>
      <c r="P4" s="15"/>
      <c r="Q4" s="14"/>
      <c r="R4" s="15"/>
      <c r="S4" s="15"/>
      <c r="T4" s="15"/>
      <c r="U4" s="15"/>
      <c r="V4" s="15"/>
      <c r="W4" s="15"/>
      <c r="X4" s="15"/>
      <c r="Y4" s="15"/>
      <c r="Z4" s="15"/>
      <c r="AA4" s="15"/>
      <c r="AB4" s="15"/>
      <c r="AC4" s="15"/>
      <c r="AD4" s="15"/>
      <c r="AE4" s="15"/>
      <c r="AF4" s="15"/>
      <c r="AG4" s="15"/>
      <c r="AH4" s="15"/>
      <c r="AI4" s="15"/>
      <c r="AJ4" s="15"/>
    </row>
    <row r="5" ht="27.75" customHeight="1">
      <c r="A5" s="9" t="s">
        <v>201</v>
      </c>
      <c r="B5" s="10" t="s">
        <v>120</v>
      </c>
      <c r="C5" s="11" t="s">
        <v>203</v>
      </c>
      <c r="D5" s="11" t="s">
        <v>205</v>
      </c>
      <c r="E5" s="10" t="s">
        <v>138</v>
      </c>
      <c r="F5" s="13" t="s">
        <v>208</v>
      </c>
      <c r="G5" s="13" t="s">
        <v>209</v>
      </c>
      <c r="H5" s="13" t="s">
        <v>210</v>
      </c>
      <c r="I5" s="13" t="s">
        <v>105</v>
      </c>
      <c r="J5" s="13" t="s">
        <v>148</v>
      </c>
      <c r="K5" s="13" t="s">
        <v>150</v>
      </c>
      <c r="L5" s="10" t="s">
        <v>118</v>
      </c>
      <c r="M5" s="13" t="s">
        <v>165</v>
      </c>
      <c r="N5" s="11"/>
      <c r="O5" s="15"/>
      <c r="P5" s="15"/>
      <c r="Q5" s="15"/>
      <c r="R5" s="14"/>
      <c r="S5" s="14"/>
      <c r="T5" s="15"/>
      <c r="U5" s="15"/>
      <c r="V5" s="15"/>
      <c r="W5" s="15"/>
      <c r="X5" s="15"/>
      <c r="Y5" s="15"/>
      <c r="Z5" s="15"/>
      <c r="AA5" s="15"/>
      <c r="AB5" s="15"/>
      <c r="AC5" s="15"/>
      <c r="AD5" s="15"/>
      <c r="AE5" s="15"/>
      <c r="AF5" s="15"/>
      <c r="AG5" s="15"/>
      <c r="AH5" s="15"/>
      <c r="AI5" s="15"/>
      <c r="AJ5" s="15"/>
    </row>
    <row r="6" ht="27.75" customHeight="1">
      <c r="A6" s="9" t="s">
        <v>217</v>
      </c>
      <c r="B6" s="10" t="s">
        <v>218</v>
      </c>
      <c r="C6" s="11" t="s">
        <v>220</v>
      </c>
      <c r="D6" s="11" t="s">
        <v>221</v>
      </c>
      <c r="E6" s="10" t="s">
        <v>138</v>
      </c>
      <c r="F6" s="13" t="s">
        <v>222</v>
      </c>
      <c r="G6" s="13" t="s">
        <v>223</v>
      </c>
      <c r="H6" s="13" t="s">
        <v>224</v>
      </c>
      <c r="I6" s="13" t="s">
        <v>105</v>
      </c>
      <c r="J6" s="13" t="s">
        <v>148</v>
      </c>
      <c r="K6" s="13" t="s">
        <v>150</v>
      </c>
      <c r="L6" s="10" t="s">
        <v>201</v>
      </c>
      <c r="M6" s="13" t="s">
        <v>165</v>
      </c>
      <c r="N6" s="11"/>
      <c r="O6" s="15"/>
      <c r="P6" s="15"/>
      <c r="Q6" s="15"/>
      <c r="R6" s="15"/>
      <c r="S6" s="14"/>
      <c r="T6" s="14"/>
      <c r="U6" s="15"/>
      <c r="V6" s="15"/>
      <c r="W6" s="15"/>
      <c r="X6" s="15"/>
      <c r="Y6" s="15"/>
      <c r="Z6" s="15"/>
      <c r="AA6" s="15"/>
      <c r="AB6" s="15"/>
      <c r="AC6" s="15"/>
      <c r="AD6" s="15"/>
      <c r="AE6" s="15"/>
      <c r="AF6" s="15"/>
      <c r="AG6" s="15"/>
      <c r="AH6" s="15"/>
      <c r="AI6" s="15"/>
      <c r="AJ6" s="15"/>
    </row>
    <row r="7" ht="27.75" customHeight="1">
      <c r="A7" s="9" t="s">
        <v>234</v>
      </c>
      <c r="B7" s="10" t="s">
        <v>218</v>
      </c>
      <c r="C7" s="11" t="s">
        <v>235</v>
      </c>
      <c r="D7" s="11" t="s">
        <v>237</v>
      </c>
      <c r="E7" s="10" t="s">
        <v>138</v>
      </c>
      <c r="F7" s="13" t="s">
        <v>238</v>
      </c>
      <c r="G7" s="13" t="s">
        <v>239</v>
      </c>
      <c r="H7" s="13" t="s">
        <v>240</v>
      </c>
      <c r="I7" s="13" t="s">
        <v>105</v>
      </c>
      <c r="J7" s="13" t="s">
        <v>148</v>
      </c>
      <c r="K7" s="13" t="s">
        <v>150</v>
      </c>
      <c r="L7" s="10" t="s">
        <v>217</v>
      </c>
      <c r="M7" s="13" t="s">
        <v>165</v>
      </c>
      <c r="N7" s="11" t="s">
        <v>244</v>
      </c>
      <c r="O7" s="15"/>
      <c r="P7" s="15"/>
      <c r="Q7" s="15"/>
      <c r="R7" s="15"/>
      <c r="S7" s="15"/>
      <c r="T7" s="14"/>
      <c r="U7" s="14"/>
      <c r="V7" s="15"/>
      <c r="W7" s="15"/>
      <c r="X7" s="15"/>
      <c r="Y7" s="15"/>
      <c r="Z7" s="15"/>
      <c r="AA7" s="15"/>
      <c r="AB7" s="15"/>
      <c r="AC7" s="15"/>
      <c r="AD7" s="15"/>
      <c r="AE7" s="15"/>
      <c r="AF7" s="15"/>
      <c r="AG7" s="15"/>
      <c r="AH7" s="15"/>
      <c r="AI7" s="15"/>
      <c r="AJ7" s="15"/>
    </row>
    <row r="8" ht="27.75" customHeight="1">
      <c r="A8" s="9" t="s">
        <v>248</v>
      </c>
      <c r="B8" s="10" t="s">
        <v>218</v>
      </c>
      <c r="C8" s="11" t="s">
        <v>249</v>
      </c>
      <c r="D8" s="11" t="s">
        <v>250</v>
      </c>
      <c r="E8" s="10" t="s">
        <v>138</v>
      </c>
      <c r="F8" s="13" t="s">
        <v>251</v>
      </c>
      <c r="G8" s="13" t="s">
        <v>252</v>
      </c>
      <c r="H8" s="13" t="s">
        <v>254</v>
      </c>
      <c r="I8" s="13" t="s">
        <v>105</v>
      </c>
      <c r="J8" s="13" t="s">
        <v>148</v>
      </c>
      <c r="K8" s="13" t="s">
        <v>150</v>
      </c>
      <c r="L8" s="10" t="s">
        <v>234</v>
      </c>
      <c r="M8" s="13" t="s">
        <v>165</v>
      </c>
      <c r="N8" s="11"/>
      <c r="O8" s="15"/>
      <c r="P8" s="15"/>
      <c r="Q8" s="15"/>
      <c r="R8" s="15"/>
      <c r="S8" s="15"/>
      <c r="T8" s="15"/>
      <c r="U8" s="14"/>
      <c r="V8" s="14"/>
      <c r="W8" s="15"/>
      <c r="X8" s="15"/>
      <c r="Y8" s="15"/>
      <c r="Z8" s="15"/>
      <c r="AA8" s="15"/>
      <c r="AB8" s="15"/>
      <c r="AC8" s="15"/>
      <c r="AD8" s="15"/>
      <c r="AE8" s="15"/>
      <c r="AF8" s="15"/>
      <c r="AG8" s="15"/>
      <c r="AH8" s="15"/>
      <c r="AI8" s="15"/>
      <c r="AJ8" s="15"/>
    </row>
    <row r="9" ht="27.75" customHeight="1">
      <c r="A9" s="9" t="s">
        <v>263</v>
      </c>
      <c r="B9" s="10" t="s">
        <v>218</v>
      </c>
      <c r="C9" s="11" t="s">
        <v>264</v>
      </c>
      <c r="D9" s="11" t="s">
        <v>266</v>
      </c>
      <c r="E9" s="10" t="s">
        <v>138</v>
      </c>
      <c r="F9" s="13" t="s">
        <v>56</v>
      </c>
      <c r="G9" s="13" t="s">
        <v>269</v>
      </c>
      <c r="H9" s="13" t="s">
        <v>254</v>
      </c>
      <c r="I9" s="13" t="s">
        <v>105</v>
      </c>
      <c r="J9" s="13" t="s">
        <v>148</v>
      </c>
      <c r="K9" s="13" t="s">
        <v>150</v>
      </c>
      <c r="L9" s="10" t="s">
        <v>248</v>
      </c>
      <c r="M9" s="13" t="s">
        <v>165</v>
      </c>
      <c r="N9" s="11"/>
      <c r="O9" s="15"/>
      <c r="P9" s="15"/>
      <c r="Q9" s="15"/>
      <c r="R9" s="15"/>
      <c r="S9" s="15"/>
      <c r="T9" s="15"/>
      <c r="U9" s="15"/>
      <c r="V9" s="14"/>
      <c r="W9" s="15"/>
      <c r="X9" s="15"/>
      <c r="Y9" s="15"/>
      <c r="Z9" s="15"/>
      <c r="AA9" s="15"/>
      <c r="AB9" s="15"/>
      <c r="AC9" s="15"/>
      <c r="AD9" s="15"/>
      <c r="AE9" s="15"/>
      <c r="AF9" s="15"/>
      <c r="AG9" s="15"/>
      <c r="AH9" s="15"/>
      <c r="AI9" s="15"/>
      <c r="AJ9" s="15"/>
    </row>
    <row r="10" ht="27.75" customHeight="1">
      <c r="A10" s="9" t="s">
        <v>274</v>
      </c>
      <c r="B10" s="10" t="s">
        <v>275</v>
      </c>
      <c r="C10" s="11" t="s">
        <v>277</v>
      </c>
      <c r="D10" s="11" t="s">
        <v>279</v>
      </c>
      <c r="E10" s="10" t="s">
        <v>138</v>
      </c>
      <c r="F10" s="13" t="s">
        <v>282</v>
      </c>
      <c r="G10" s="13" t="s">
        <v>269</v>
      </c>
      <c r="H10" s="13" t="s">
        <v>283</v>
      </c>
      <c r="I10" s="13" t="s">
        <v>105</v>
      </c>
      <c r="J10" s="13" t="s">
        <v>148</v>
      </c>
      <c r="K10" s="13" t="s">
        <v>150</v>
      </c>
      <c r="L10" s="10" t="s">
        <v>187</v>
      </c>
      <c r="M10" s="13" t="s">
        <v>165</v>
      </c>
      <c r="N10" s="11"/>
      <c r="O10" s="15"/>
      <c r="P10" s="15"/>
      <c r="Q10" s="15"/>
      <c r="R10" s="15"/>
      <c r="S10" s="15"/>
      <c r="T10" s="15"/>
      <c r="U10" s="15"/>
      <c r="V10" s="14"/>
      <c r="W10" s="14"/>
      <c r="X10" s="15"/>
      <c r="Y10" s="15"/>
      <c r="Z10" s="15"/>
      <c r="AA10" s="15"/>
      <c r="AB10" s="15"/>
      <c r="AC10" s="15"/>
      <c r="AD10" s="15"/>
      <c r="AE10" s="15"/>
      <c r="AF10" s="15"/>
      <c r="AG10" s="15"/>
      <c r="AH10" s="15"/>
      <c r="AI10" s="15"/>
      <c r="AJ10" s="15"/>
    </row>
    <row r="11" ht="27.75" customHeight="1">
      <c r="A11" s="9" t="s">
        <v>286</v>
      </c>
      <c r="B11" s="10" t="s">
        <v>275</v>
      </c>
      <c r="C11" s="11" t="s">
        <v>288</v>
      </c>
      <c r="D11" s="11" t="s">
        <v>289</v>
      </c>
      <c r="E11" s="10" t="s">
        <v>138</v>
      </c>
      <c r="F11" s="13" t="s">
        <v>58</v>
      </c>
      <c r="G11" s="13" t="s">
        <v>294</v>
      </c>
      <c r="H11" s="13" t="s">
        <v>283</v>
      </c>
      <c r="I11" s="13" t="s">
        <v>105</v>
      </c>
      <c r="J11" s="13" t="s">
        <v>148</v>
      </c>
      <c r="K11" s="13" t="s">
        <v>150</v>
      </c>
      <c r="L11" s="10" t="s">
        <v>274</v>
      </c>
      <c r="M11" s="13" t="s">
        <v>165</v>
      </c>
      <c r="N11" s="11" t="s">
        <v>295</v>
      </c>
      <c r="O11" s="15"/>
      <c r="P11" s="15"/>
      <c r="Q11" s="15"/>
      <c r="R11" s="15"/>
      <c r="S11" s="15"/>
      <c r="T11" s="15"/>
      <c r="U11" s="15"/>
      <c r="V11" s="15"/>
      <c r="W11" s="14"/>
      <c r="X11" s="15"/>
      <c r="Y11" s="15"/>
      <c r="Z11" s="15"/>
      <c r="AA11" s="15"/>
      <c r="AB11" s="15"/>
      <c r="AC11" s="15"/>
      <c r="AD11" s="15"/>
      <c r="AE11" s="15"/>
      <c r="AF11" s="15"/>
      <c r="AG11" s="15"/>
      <c r="AH11" s="15"/>
      <c r="AI11" s="15"/>
      <c r="AJ11" s="15"/>
    </row>
    <row r="12" ht="27.75" customHeight="1">
      <c r="A12" s="9" t="s">
        <v>299</v>
      </c>
      <c r="B12" s="10" t="s">
        <v>275</v>
      </c>
      <c r="C12" s="11" t="s">
        <v>302</v>
      </c>
      <c r="D12" s="11" t="s">
        <v>303</v>
      </c>
      <c r="E12" s="10" t="s">
        <v>138</v>
      </c>
      <c r="F12" s="13" t="s">
        <v>305</v>
      </c>
      <c r="G12" s="13" t="s">
        <v>294</v>
      </c>
      <c r="H12" s="13" t="s">
        <v>306</v>
      </c>
      <c r="I12" s="13" t="s">
        <v>105</v>
      </c>
      <c r="J12" s="13" t="s">
        <v>148</v>
      </c>
      <c r="K12" s="13" t="s">
        <v>150</v>
      </c>
      <c r="L12" s="10" t="s">
        <v>256</v>
      </c>
      <c r="M12" s="13" t="s">
        <v>112</v>
      </c>
      <c r="N12" s="11" t="s">
        <v>308</v>
      </c>
      <c r="O12" s="15"/>
      <c r="P12" s="15"/>
      <c r="Q12" s="15"/>
      <c r="R12" s="15"/>
      <c r="S12" s="15"/>
      <c r="T12" s="15"/>
      <c r="U12" s="15"/>
      <c r="V12" s="15"/>
      <c r="W12" s="14"/>
      <c r="X12" s="14"/>
      <c r="Y12" s="15"/>
      <c r="Z12" s="15"/>
      <c r="AA12" s="15"/>
      <c r="AB12" s="15"/>
      <c r="AC12" s="15"/>
      <c r="AD12" s="15"/>
      <c r="AE12" s="15"/>
      <c r="AF12" s="15"/>
      <c r="AG12" s="15"/>
      <c r="AH12" s="15"/>
      <c r="AI12" s="15"/>
      <c r="AJ12" s="15"/>
    </row>
    <row r="13" ht="27.75" customHeight="1">
      <c r="A13" s="9" t="s">
        <v>315</v>
      </c>
      <c r="B13" s="10" t="s">
        <v>275</v>
      </c>
      <c r="C13" s="11" t="s">
        <v>317</v>
      </c>
      <c r="D13" s="11" t="s">
        <v>318</v>
      </c>
      <c r="E13" s="10" t="s">
        <v>138</v>
      </c>
      <c r="F13" s="13" t="s">
        <v>59</v>
      </c>
      <c r="G13" s="13" t="s">
        <v>319</v>
      </c>
      <c r="H13" s="13" t="s">
        <v>306</v>
      </c>
      <c r="I13" s="13" t="s">
        <v>260</v>
      </c>
      <c r="J13" s="13" t="s">
        <v>148</v>
      </c>
      <c r="K13" s="13" t="s">
        <v>150</v>
      </c>
      <c r="L13" s="10" t="s">
        <v>299</v>
      </c>
      <c r="M13" s="13" t="s">
        <v>112</v>
      </c>
      <c r="N13" s="11" t="s">
        <v>321</v>
      </c>
      <c r="O13" s="15"/>
      <c r="P13" s="15"/>
      <c r="Q13" s="15"/>
      <c r="R13" s="15"/>
      <c r="S13" s="15"/>
      <c r="T13" s="15"/>
      <c r="U13" s="15"/>
      <c r="V13" s="15"/>
      <c r="W13" s="15"/>
      <c r="X13" s="14"/>
      <c r="Y13" s="15"/>
      <c r="Z13" s="15"/>
      <c r="AA13" s="15"/>
      <c r="AB13" s="15"/>
      <c r="AC13" s="15"/>
      <c r="AD13" s="15"/>
      <c r="AE13" s="15"/>
      <c r="AF13" s="15"/>
      <c r="AG13" s="15"/>
      <c r="AH13" s="15"/>
      <c r="AI13" s="15"/>
      <c r="AJ13" s="15"/>
    </row>
    <row r="14" ht="39.0" customHeight="1">
      <c r="A14" s="9" t="s">
        <v>326</v>
      </c>
      <c r="B14" s="10" t="s">
        <v>120</v>
      </c>
      <c r="C14" s="11" t="s">
        <v>327</v>
      </c>
      <c r="D14" s="11" t="s">
        <v>328</v>
      </c>
      <c r="E14" s="10" t="s">
        <v>138</v>
      </c>
      <c r="F14" s="13" t="s">
        <v>330</v>
      </c>
      <c r="G14" s="13" t="s">
        <v>319</v>
      </c>
      <c r="H14" s="13" t="s">
        <v>331</v>
      </c>
      <c r="I14" s="13" t="s">
        <v>260</v>
      </c>
      <c r="J14" s="13" t="s">
        <v>148</v>
      </c>
      <c r="K14" s="13" t="s">
        <v>150</v>
      </c>
      <c r="L14" s="10" t="s">
        <v>248</v>
      </c>
      <c r="M14" s="13" t="s">
        <v>112</v>
      </c>
      <c r="N14" s="11" t="s">
        <v>333</v>
      </c>
      <c r="O14" s="15"/>
      <c r="P14" s="15"/>
      <c r="Q14" s="15"/>
      <c r="R14" s="15"/>
      <c r="S14" s="15"/>
      <c r="T14" s="15"/>
      <c r="U14" s="15"/>
      <c r="V14" s="15"/>
      <c r="W14" s="15"/>
      <c r="X14" s="14"/>
      <c r="Y14" s="14"/>
      <c r="Z14" s="15"/>
      <c r="AA14" s="15"/>
      <c r="AB14" s="15"/>
      <c r="AC14" s="15"/>
      <c r="AD14" s="15"/>
      <c r="AE14" s="15"/>
      <c r="AF14" s="15"/>
      <c r="AG14" s="15"/>
      <c r="AH14" s="15"/>
      <c r="AI14" s="15"/>
      <c r="AJ14" s="15"/>
    </row>
    <row r="15" ht="27.75" customHeight="1">
      <c r="A15" s="9" t="s">
        <v>337</v>
      </c>
      <c r="B15" s="10" t="s">
        <v>120</v>
      </c>
      <c r="C15" s="11" t="s">
        <v>339</v>
      </c>
      <c r="D15" s="11" t="s">
        <v>341</v>
      </c>
      <c r="E15" s="10" t="s">
        <v>138</v>
      </c>
      <c r="F15" s="13" t="s">
        <v>343</v>
      </c>
      <c r="G15" s="13" t="s">
        <v>344</v>
      </c>
      <c r="H15" s="13" t="s">
        <v>345</v>
      </c>
      <c r="I15" s="13" t="s">
        <v>105</v>
      </c>
      <c r="J15" s="13" t="s">
        <v>148</v>
      </c>
      <c r="K15" s="13" t="s">
        <v>150</v>
      </c>
      <c r="L15" s="10" t="s">
        <v>326</v>
      </c>
      <c r="M15" s="13" t="s">
        <v>165</v>
      </c>
      <c r="N15" s="11" t="s">
        <v>350</v>
      </c>
      <c r="O15" s="15"/>
      <c r="P15" s="15"/>
      <c r="Q15" s="15"/>
      <c r="R15" s="15"/>
      <c r="S15" s="15"/>
      <c r="T15" s="15"/>
      <c r="U15" s="15"/>
      <c r="V15" s="15"/>
      <c r="W15" s="15"/>
      <c r="X15" s="15"/>
      <c r="Y15" s="14"/>
      <c r="Z15" s="14"/>
      <c r="AA15" s="15"/>
      <c r="AB15" s="15"/>
      <c r="AC15" s="15"/>
      <c r="AD15" s="15"/>
      <c r="AE15" s="15"/>
      <c r="AF15" s="15"/>
      <c r="AG15" s="15"/>
      <c r="AH15" s="15"/>
      <c r="AI15" s="15"/>
      <c r="AJ15" s="15"/>
    </row>
    <row r="16" ht="27.75" customHeight="1">
      <c r="A16" s="9" t="s">
        <v>353</v>
      </c>
      <c r="B16" s="10" t="s">
        <v>218</v>
      </c>
      <c r="C16" s="11" t="s">
        <v>354</v>
      </c>
      <c r="D16" s="11" t="s">
        <v>355</v>
      </c>
      <c r="E16" s="10" t="s">
        <v>138</v>
      </c>
      <c r="F16" s="13" t="s">
        <v>358</v>
      </c>
      <c r="G16" s="13" t="s">
        <v>360</v>
      </c>
      <c r="H16" s="13" t="s">
        <v>361</v>
      </c>
      <c r="I16" s="13" t="s">
        <v>260</v>
      </c>
      <c r="J16" s="13" t="s">
        <v>148</v>
      </c>
      <c r="K16" s="13" t="s">
        <v>150</v>
      </c>
      <c r="L16" s="10" t="s">
        <v>326</v>
      </c>
      <c r="M16" s="13" t="s">
        <v>165</v>
      </c>
      <c r="N16" s="11"/>
      <c r="O16" s="15"/>
      <c r="P16" s="15"/>
      <c r="Q16" s="15"/>
      <c r="R16" s="15"/>
      <c r="S16" s="15"/>
      <c r="T16" s="15"/>
      <c r="U16" s="15"/>
      <c r="V16" s="15"/>
      <c r="W16" s="15"/>
      <c r="X16" s="15"/>
      <c r="Y16" s="15"/>
      <c r="Z16" s="14"/>
      <c r="AA16" s="14"/>
      <c r="AB16" s="15"/>
      <c r="AC16" s="15"/>
      <c r="AD16" s="15"/>
      <c r="AE16" s="15"/>
      <c r="AF16" s="15"/>
      <c r="AG16" s="15"/>
      <c r="AH16" s="15"/>
      <c r="AI16" s="15"/>
      <c r="AJ16" s="15"/>
    </row>
    <row r="17" ht="27.75" customHeight="1">
      <c r="A17" s="9" t="s">
        <v>368</v>
      </c>
      <c r="B17" s="10" t="s">
        <v>218</v>
      </c>
      <c r="C17" s="11" t="s">
        <v>369</v>
      </c>
      <c r="D17" s="11" t="s">
        <v>370</v>
      </c>
      <c r="E17" s="10" t="s">
        <v>138</v>
      </c>
      <c r="F17" s="13" t="s">
        <v>373</v>
      </c>
      <c r="G17" s="13" t="s">
        <v>376</v>
      </c>
      <c r="H17" s="13" t="s">
        <v>377</v>
      </c>
      <c r="I17" s="13" t="s">
        <v>105</v>
      </c>
      <c r="J17" s="13" t="s">
        <v>148</v>
      </c>
      <c r="K17" s="13" t="s">
        <v>150</v>
      </c>
      <c r="L17" s="10" t="s">
        <v>353</v>
      </c>
      <c r="M17" s="13" t="s">
        <v>165</v>
      </c>
      <c r="N17" s="11"/>
      <c r="O17" s="15"/>
      <c r="P17" s="15"/>
      <c r="Q17" s="15"/>
      <c r="R17" s="15"/>
      <c r="S17" s="15"/>
      <c r="T17" s="15"/>
      <c r="U17" s="15"/>
      <c r="V17" s="15"/>
      <c r="W17" s="15"/>
      <c r="X17" s="15"/>
      <c r="Y17" s="15"/>
      <c r="Z17" s="15"/>
      <c r="AA17" s="14"/>
      <c r="AB17" s="14"/>
      <c r="AC17" s="15"/>
      <c r="AD17" s="15"/>
      <c r="AE17" s="15"/>
      <c r="AF17" s="15"/>
      <c r="AG17" s="15"/>
      <c r="AH17" s="15"/>
      <c r="AI17" s="15"/>
      <c r="AJ17" s="15"/>
    </row>
    <row r="18" ht="51.75" customHeight="1">
      <c r="A18" s="9" t="s">
        <v>392</v>
      </c>
      <c r="B18" s="10" t="s">
        <v>394</v>
      </c>
      <c r="C18" s="11" t="s">
        <v>395</v>
      </c>
      <c r="D18" s="11" t="s">
        <v>396</v>
      </c>
      <c r="E18" s="10" t="s">
        <v>138</v>
      </c>
      <c r="F18" s="13" t="s">
        <v>399</v>
      </c>
      <c r="G18" s="13" t="s">
        <v>360</v>
      </c>
      <c r="H18" s="13" t="s">
        <v>400</v>
      </c>
      <c r="I18" s="13" t="s">
        <v>105</v>
      </c>
      <c r="J18" s="13" t="s">
        <v>148</v>
      </c>
      <c r="K18" s="13" t="s">
        <v>150</v>
      </c>
      <c r="L18" s="10" t="s">
        <v>346</v>
      </c>
      <c r="M18" s="13" t="s">
        <v>112</v>
      </c>
      <c r="N18" s="11" t="s">
        <v>402</v>
      </c>
      <c r="O18" s="15"/>
      <c r="P18" s="15"/>
      <c r="Q18" s="15"/>
      <c r="R18" s="15"/>
      <c r="S18" s="15"/>
      <c r="T18" s="15"/>
      <c r="U18" s="15"/>
      <c r="V18" s="15"/>
      <c r="W18" s="15"/>
      <c r="X18" s="15"/>
      <c r="Y18" s="15"/>
      <c r="Z18" s="14"/>
      <c r="AA18" s="14"/>
      <c r="AB18" s="14"/>
      <c r="AC18" s="14"/>
      <c r="AD18" s="14"/>
      <c r="AE18" s="14"/>
      <c r="AF18" s="14"/>
      <c r="AG18" s="14"/>
      <c r="AH18" s="14"/>
      <c r="AI18" s="15"/>
      <c r="AJ18" s="15"/>
    </row>
    <row r="19" ht="64.5" customHeight="1">
      <c r="A19" s="9" t="s">
        <v>410</v>
      </c>
      <c r="B19" s="10" t="s">
        <v>394</v>
      </c>
      <c r="C19" s="11" t="s">
        <v>413</v>
      </c>
      <c r="D19" s="11" t="s">
        <v>415</v>
      </c>
      <c r="E19" s="10" t="s">
        <v>138</v>
      </c>
      <c r="F19" s="13" t="s">
        <v>419</v>
      </c>
      <c r="G19" s="13" t="s">
        <v>420</v>
      </c>
      <c r="H19" s="13" t="s">
        <v>421</v>
      </c>
      <c r="I19" s="13" t="s">
        <v>105</v>
      </c>
      <c r="J19" s="13" t="s">
        <v>148</v>
      </c>
      <c r="K19" s="13" t="s">
        <v>150</v>
      </c>
      <c r="L19" s="10" t="s">
        <v>392</v>
      </c>
      <c r="M19" s="13" t="s">
        <v>112</v>
      </c>
      <c r="N19" s="11" t="s">
        <v>425</v>
      </c>
      <c r="O19" s="15"/>
      <c r="P19" s="15"/>
      <c r="Q19" s="15"/>
      <c r="R19" s="15"/>
      <c r="S19" s="15"/>
      <c r="T19" s="15"/>
      <c r="U19" s="15"/>
      <c r="V19" s="15"/>
      <c r="W19" s="15"/>
      <c r="X19" s="15"/>
      <c r="Y19" s="15"/>
      <c r="Z19" s="15"/>
      <c r="AA19" s="15"/>
      <c r="AB19" s="15"/>
      <c r="AC19" s="15"/>
      <c r="AD19" s="15"/>
      <c r="AE19" s="15"/>
      <c r="AF19" s="15"/>
      <c r="AG19" s="15"/>
      <c r="AH19" s="14"/>
      <c r="AI19" s="14"/>
      <c r="AJ19" s="15"/>
    </row>
    <row r="20" ht="27.75" customHeight="1">
      <c r="A20" s="9" t="s">
        <v>431</v>
      </c>
      <c r="B20" s="10" t="s">
        <v>446</v>
      </c>
      <c r="C20" s="11" t="s">
        <v>447</v>
      </c>
      <c r="D20" s="11" t="s">
        <v>449</v>
      </c>
      <c r="E20" s="10" t="s">
        <v>138</v>
      </c>
      <c r="F20" s="13" t="s">
        <v>451</v>
      </c>
      <c r="G20" s="13" t="s">
        <v>452</v>
      </c>
      <c r="H20" s="13" t="s">
        <v>453</v>
      </c>
      <c r="I20" s="13" t="s">
        <v>105</v>
      </c>
      <c r="J20" s="13" t="s">
        <v>148</v>
      </c>
      <c r="K20" s="13" t="s">
        <v>150</v>
      </c>
      <c r="L20" s="10" t="s">
        <v>368</v>
      </c>
      <c r="M20" s="13" t="s">
        <v>165</v>
      </c>
      <c r="N20" s="11"/>
      <c r="O20" s="15"/>
      <c r="P20" s="15"/>
      <c r="Q20" s="15"/>
      <c r="R20" s="15"/>
      <c r="S20" s="15"/>
      <c r="T20" s="15"/>
      <c r="U20" s="15"/>
      <c r="V20" s="15"/>
      <c r="W20" s="15"/>
      <c r="X20" s="15"/>
      <c r="Y20" s="15"/>
      <c r="Z20" s="15"/>
      <c r="AA20" s="15"/>
      <c r="AB20" s="15"/>
      <c r="AC20" s="15"/>
      <c r="AD20" s="15"/>
      <c r="AE20" s="15"/>
      <c r="AF20" s="15"/>
      <c r="AG20" s="15"/>
      <c r="AH20" s="15"/>
      <c r="AI20" s="14"/>
      <c r="AJ20"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20"/>
  <mergeCells count="1">
    <mergeCell ref="A1:AJ1"/>
  </mergeCells>
  <conditionalFormatting sqref="J3:J20">
    <cfRule type="cellIs" dxfId="0" priority="1" operator="equal">
      <formula>"Hoàn thành"</formula>
    </cfRule>
  </conditionalFormatting>
  <conditionalFormatting sqref="J3:J20">
    <cfRule type="cellIs" dxfId="1" priority="2" operator="equal">
      <formula>"Đang làm"</formula>
    </cfRule>
  </conditionalFormatting>
  <conditionalFormatting sqref="J3:J20">
    <cfRule type="cellIs" dxfId="2" priority="3" operator="equal">
      <formula>"Đang review"</formula>
    </cfRule>
  </conditionalFormatting>
  <conditionalFormatting sqref="J3:J20">
    <cfRule type="cellIs" dxfId="3" priority="4" operator="equal">
      <formula>"Bị chặn"</formula>
    </cfRule>
  </conditionalFormatting>
  <conditionalFormatting sqref="J3:J20">
    <cfRule type="cellIs" dxfId="4" priority="5" operator="equal">
      <formula>"Chưa bắt đầu"</formula>
    </cfRule>
  </conditionalFormatting>
  <dataValidations>
    <dataValidation type="list" allowBlank="1" sqref="E3:E20">
      <formula1>"BE1 – Mỹ,BE2 – Đạt,FE1 – Thịnh,FE2 – Ngọc,FE3 – Khang,Cả nhóm,Chưa gán"</formula1>
    </dataValidation>
    <dataValidation type="list" allowBlank="1" sqref="J3:J20">
      <formula1>"Chưa bắt đầu,Đang làm,Đang review,Hoàn thành,Bị chặn"</formula1>
    </dataValidation>
    <dataValidation type="list" allowBlank="1" sqref="I3:I20">
      <formula1>"Cao,Trung bình,Thấp"</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46.0"/>
    <col customWidth="1" min="4" max="4" width="52.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2.0"/>
    <col customWidth="1" min="15" max="36" width="4.14"/>
  </cols>
  <sheetData>
    <row r="1" ht="21.75" customHeight="1">
      <c r="A1" s="23" t="s">
        <v>325</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8" t="s">
        <v>16</v>
      </c>
      <c r="B2" s="8" t="s">
        <v>22</v>
      </c>
      <c r="C2" s="8" t="s">
        <v>23</v>
      </c>
      <c r="D2" s="8" t="s">
        <v>25</v>
      </c>
      <c r="E2" s="8" t="s">
        <v>27</v>
      </c>
      <c r="F2" s="8" t="s">
        <v>29</v>
      </c>
      <c r="G2" s="8" t="s">
        <v>31</v>
      </c>
      <c r="H2" s="8" t="s">
        <v>32</v>
      </c>
      <c r="I2" s="8" t="s">
        <v>35</v>
      </c>
      <c r="J2" s="8" t="s">
        <v>37</v>
      </c>
      <c r="K2" s="8" t="s">
        <v>39</v>
      </c>
      <c r="L2" s="8" t="s">
        <v>40</v>
      </c>
      <c r="M2" s="8" t="s">
        <v>42</v>
      </c>
      <c r="N2" s="8" t="s">
        <v>43</v>
      </c>
      <c r="O2" s="8" t="s">
        <v>44</v>
      </c>
      <c r="P2" s="8" t="s">
        <v>45</v>
      </c>
      <c r="Q2" s="8" t="s">
        <v>46</v>
      </c>
      <c r="R2" s="8" t="s">
        <v>48</v>
      </c>
      <c r="S2" s="8" t="s">
        <v>50</v>
      </c>
      <c r="T2" s="8" t="s">
        <v>51</v>
      </c>
      <c r="U2" s="8" t="s">
        <v>54</v>
      </c>
      <c r="V2" s="8" t="s">
        <v>56</v>
      </c>
      <c r="W2" s="8" t="s">
        <v>58</v>
      </c>
      <c r="X2" s="8" t="s">
        <v>59</v>
      </c>
      <c r="Y2" s="8" t="s">
        <v>62</v>
      </c>
      <c r="Z2" s="8" t="s">
        <v>63</v>
      </c>
      <c r="AA2" s="8" t="s">
        <v>65</v>
      </c>
      <c r="AB2" s="8" t="s">
        <v>69</v>
      </c>
      <c r="AC2" s="8" t="s">
        <v>71</v>
      </c>
      <c r="AD2" s="8" t="s">
        <v>72</v>
      </c>
      <c r="AE2" s="8" t="s">
        <v>73</v>
      </c>
      <c r="AF2" s="8" t="s">
        <v>74</v>
      </c>
      <c r="AG2" s="8" t="s">
        <v>76</v>
      </c>
      <c r="AH2" s="8" t="s">
        <v>78</v>
      </c>
      <c r="AI2" s="8" t="s">
        <v>80</v>
      </c>
      <c r="AJ2" s="8" t="s">
        <v>82</v>
      </c>
    </row>
    <row r="3" ht="39.0" customHeight="1">
      <c r="A3" s="9" t="s">
        <v>378</v>
      </c>
      <c r="B3" s="10" t="s">
        <v>167</v>
      </c>
      <c r="C3" s="11" t="s">
        <v>380</v>
      </c>
      <c r="D3" s="11" t="s">
        <v>381</v>
      </c>
      <c r="E3" s="10" t="s">
        <v>140</v>
      </c>
      <c r="F3" s="13" t="s">
        <v>246</v>
      </c>
      <c r="G3" s="13" t="s">
        <v>193</v>
      </c>
      <c r="H3" s="13" t="s">
        <v>233</v>
      </c>
      <c r="I3" s="13" t="s">
        <v>105</v>
      </c>
      <c r="J3" s="13" t="s">
        <v>148</v>
      </c>
      <c r="K3" s="13" t="s">
        <v>150</v>
      </c>
      <c r="L3" s="10" t="s">
        <v>164</v>
      </c>
      <c r="M3" s="13" t="s">
        <v>112</v>
      </c>
      <c r="N3" s="11" t="s">
        <v>398</v>
      </c>
      <c r="O3" s="15"/>
      <c r="P3" s="15"/>
      <c r="Q3" s="14"/>
      <c r="R3" s="14"/>
      <c r="S3" s="15"/>
      <c r="T3" s="15"/>
      <c r="U3" s="15"/>
      <c r="V3" s="15"/>
      <c r="W3" s="15"/>
      <c r="X3" s="15"/>
      <c r="Y3" s="15"/>
      <c r="Z3" s="15"/>
      <c r="AA3" s="15"/>
      <c r="AB3" s="15"/>
      <c r="AC3" s="15"/>
      <c r="AD3" s="15"/>
      <c r="AE3" s="15"/>
      <c r="AF3" s="15"/>
      <c r="AG3" s="15"/>
      <c r="AH3" s="15"/>
      <c r="AI3" s="15"/>
      <c r="AJ3" s="15"/>
    </row>
    <row r="4" ht="51.75" customHeight="1">
      <c r="A4" s="9" t="s">
        <v>406</v>
      </c>
      <c r="B4" s="10" t="s">
        <v>167</v>
      </c>
      <c r="C4" s="11" t="s">
        <v>409</v>
      </c>
      <c r="D4" s="11" t="s">
        <v>412</v>
      </c>
      <c r="E4" s="10" t="s">
        <v>140</v>
      </c>
      <c r="F4" s="13" t="s">
        <v>208</v>
      </c>
      <c r="G4" s="13" t="s">
        <v>209</v>
      </c>
      <c r="H4" s="13" t="s">
        <v>210</v>
      </c>
      <c r="I4" s="13" t="s">
        <v>105</v>
      </c>
      <c r="J4" s="13" t="s">
        <v>148</v>
      </c>
      <c r="K4" s="13" t="s">
        <v>150</v>
      </c>
      <c r="L4" s="10" t="s">
        <v>276</v>
      </c>
      <c r="M4" s="13" t="s">
        <v>112</v>
      </c>
      <c r="N4" s="11" t="s">
        <v>423</v>
      </c>
      <c r="O4" s="15"/>
      <c r="P4" s="15"/>
      <c r="Q4" s="15"/>
      <c r="R4" s="14"/>
      <c r="S4" s="14"/>
      <c r="T4" s="15"/>
      <c r="U4" s="15"/>
      <c r="V4" s="15"/>
      <c r="W4" s="15"/>
      <c r="X4" s="15"/>
      <c r="Y4" s="15"/>
      <c r="Z4" s="15"/>
      <c r="AA4" s="15"/>
      <c r="AB4" s="15"/>
      <c r="AC4" s="15"/>
      <c r="AD4" s="15"/>
      <c r="AE4" s="15"/>
      <c r="AF4" s="15"/>
      <c r="AG4" s="15"/>
      <c r="AH4" s="15"/>
      <c r="AI4" s="15"/>
      <c r="AJ4" s="15"/>
    </row>
    <row r="5" ht="27.75" customHeight="1">
      <c r="A5" s="9" t="s">
        <v>429</v>
      </c>
      <c r="B5" s="10" t="s">
        <v>430</v>
      </c>
      <c r="C5" s="11" t="s">
        <v>432</v>
      </c>
      <c r="D5" s="11" t="s">
        <v>434</v>
      </c>
      <c r="E5" s="10" t="s">
        <v>140</v>
      </c>
      <c r="F5" s="13" t="s">
        <v>437</v>
      </c>
      <c r="G5" s="13" t="s">
        <v>223</v>
      </c>
      <c r="H5" s="13" t="s">
        <v>240</v>
      </c>
      <c r="I5" s="13" t="s">
        <v>105</v>
      </c>
      <c r="J5" s="13" t="s">
        <v>148</v>
      </c>
      <c r="K5" s="13" t="s">
        <v>150</v>
      </c>
      <c r="L5" s="10" t="s">
        <v>298</v>
      </c>
      <c r="M5" s="13" t="s">
        <v>165</v>
      </c>
      <c r="N5" s="11" t="s">
        <v>439</v>
      </c>
      <c r="O5" s="15"/>
      <c r="P5" s="15"/>
      <c r="Q5" s="15"/>
      <c r="R5" s="15"/>
      <c r="S5" s="14"/>
      <c r="T5" s="14"/>
      <c r="U5" s="14"/>
      <c r="V5" s="15"/>
      <c r="W5" s="15"/>
      <c r="X5" s="15"/>
      <c r="Y5" s="15"/>
      <c r="Z5" s="15"/>
      <c r="AA5" s="15"/>
      <c r="AB5" s="15"/>
      <c r="AC5" s="15"/>
      <c r="AD5" s="15"/>
      <c r="AE5" s="15"/>
      <c r="AF5" s="15"/>
      <c r="AG5" s="15"/>
      <c r="AH5" s="15"/>
      <c r="AI5" s="15"/>
      <c r="AJ5" s="15"/>
    </row>
    <row r="6" ht="27.75" customHeight="1">
      <c r="A6" s="9" t="s">
        <v>445</v>
      </c>
      <c r="B6" s="10" t="s">
        <v>430</v>
      </c>
      <c r="C6" s="11" t="s">
        <v>448</v>
      </c>
      <c r="D6" s="11" t="s">
        <v>450</v>
      </c>
      <c r="E6" s="10" t="s">
        <v>140</v>
      </c>
      <c r="F6" s="13" t="s">
        <v>251</v>
      </c>
      <c r="G6" s="13" t="s">
        <v>252</v>
      </c>
      <c r="H6" s="13" t="s">
        <v>254</v>
      </c>
      <c r="I6" s="13" t="s">
        <v>105</v>
      </c>
      <c r="J6" s="13" t="s">
        <v>148</v>
      </c>
      <c r="K6" s="13" t="s">
        <v>150</v>
      </c>
      <c r="L6" s="10" t="s">
        <v>429</v>
      </c>
      <c r="M6" s="13" t="s">
        <v>165</v>
      </c>
      <c r="N6" s="11"/>
      <c r="O6" s="15"/>
      <c r="P6" s="15"/>
      <c r="Q6" s="15"/>
      <c r="R6" s="15"/>
      <c r="S6" s="15"/>
      <c r="T6" s="15"/>
      <c r="U6" s="14"/>
      <c r="V6" s="14"/>
      <c r="W6" s="15"/>
      <c r="X6" s="15"/>
      <c r="Y6" s="15"/>
      <c r="Z6" s="15"/>
      <c r="AA6" s="15"/>
      <c r="AB6" s="15"/>
      <c r="AC6" s="15"/>
      <c r="AD6" s="15"/>
      <c r="AE6" s="15"/>
      <c r="AF6" s="15"/>
      <c r="AG6" s="15"/>
      <c r="AH6" s="15"/>
      <c r="AI6" s="15"/>
      <c r="AJ6" s="15"/>
    </row>
    <row r="7" ht="27.75" customHeight="1">
      <c r="A7" s="9" t="s">
        <v>460</v>
      </c>
      <c r="B7" s="10" t="s">
        <v>430</v>
      </c>
      <c r="C7" s="11" t="s">
        <v>461</v>
      </c>
      <c r="D7" s="11" t="s">
        <v>462</v>
      </c>
      <c r="E7" s="10" t="s">
        <v>140</v>
      </c>
      <c r="F7" s="13" t="s">
        <v>282</v>
      </c>
      <c r="G7" s="13" t="s">
        <v>269</v>
      </c>
      <c r="H7" s="13" t="s">
        <v>283</v>
      </c>
      <c r="I7" s="13" t="s">
        <v>105</v>
      </c>
      <c r="J7" s="13" t="s">
        <v>148</v>
      </c>
      <c r="K7" s="13" t="s">
        <v>150</v>
      </c>
      <c r="L7" s="10" t="s">
        <v>457</v>
      </c>
      <c r="M7" s="13" t="s">
        <v>165</v>
      </c>
      <c r="N7" s="11" t="s">
        <v>464</v>
      </c>
      <c r="O7" s="15"/>
      <c r="P7" s="15"/>
      <c r="Q7" s="15"/>
      <c r="R7" s="15"/>
      <c r="S7" s="15"/>
      <c r="T7" s="15"/>
      <c r="U7" s="15"/>
      <c r="V7" s="14"/>
      <c r="W7" s="14"/>
      <c r="X7" s="15"/>
      <c r="Y7" s="15"/>
      <c r="Z7" s="15"/>
      <c r="AA7" s="15"/>
      <c r="AB7" s="15"/>
      <c r="AC7" s="15"/>
      <c r="AD7" s="15"/>
      <c r="AE7" s="15"/>
      <c r="AF7" s="15"/>
      <c r="AG7" s="15"/>
      <c r="AH7" s="15"/>
      <c r="AI7" s="15"/>
      <c r="AJ7" s="15"/>
    </row>
    <row r="8" ht="27.75" customHeight="1">
      <c r="A8" s="9" t="s">
        <v>471</v>
      </c>
      <c r="B8" s="10" t="s">
        <v>430</v>
      </c>
      <c r="C8" s="11" t="s">
        <v>472</v>
      </c>
      <c r="D8" s="11" t="s">
        <v>473</v>
      </c>
      <c r="E8" s="10" t="s">
        <v>140</v>
      </c>
      <c r="F8" s="13" t="s">
        <v>58</v>
      </c>
      <c r="G8" s="13" t="s">
        <v>294</v>
      </c>
      <c r="H8" s="13" t="s">
        <v>283</v>
      </c>
      <c r="I8" s="13" t="s">
        <v>105</v>
      </c>
      <c r="J8" s="13" t="s">
        <v>148</v>
      </c>
      <c r="K8" s="13" t="s">
        <v>150</v>
      </c>
      <c r="L8" s="10" t="s">
        <v>460</v>
      </c>
      <c r="M8" s="13" t="s">
        <v>165</v>
      </c>
      <c r="N8" s="11" t="s">
        <v>476</v>
      </c>
      <c r="O8" s="15"/>
      <c r="P8" s="15"/>
      <c r="Q8" s="15"/>
      <c r="R8" s="15"/>
      <c r="S8" s="15"/>
      <c r="T8" s="15"/>
      <c r="U8" s="15"/>
      <c r="V8" s="15"/>
      <c r="W8" s="14"/>
      <c r="X8" s="15"/>
      <c r="Y8" s="15"/>
      <c r="Z8" s="15"/>
      <c r="AA8" s="15"/>
      <c r="AB8" s="15"/>
      <c r="AC8" s="15"/>
      <c r="AD8" s="15"/>
      <c r="AE8" s="15"/>
      <c r="AF8" s="15"/>
      <c r="AG8" s="15"/>
      <c r="AH8" s="15"/>
      <c r="AI8" s="15"/>
      <c r="AJ8" s="15"/>
    </row>
    <row r="9" ht="64.5" customHeight="1">
      <c r="A9" s="9" t="s">
        <v>480</v>
      </c>
      <c r="B9" s="10" t="s">
        <v>483</v>
      </c>
      <c r="C9" s="11" t="s">
        <v>485</v>
      </c>
      <c r="D9" s="11" t="s">
        <v>487</v>
      </c>
      <c r="E9" s="10" t="s">
        <v>140</v>
      </c>
      <c r="F9" s="13" t="s">
        <v>251</v>
      </c>
      <c r="G9" s="13" t="s">
        <v>252</v>
      </c>
      <c r="H9" s="13" t="s">
        <v>254</v>
      </c>
      <c r="I9" s="13" t="s">
        <v>105</v>
      </c>
      <c r="J9" s="13" t="s">
        <v>148</v>
      </c>
      <c r="K9" s="13" t="s">
        <v>150</v>
      </c>
      <c r="L9" s="10" t="s">
        <v>322</v>
      </c>
      <c r="M9" s="13" t="s">
        <v>112</v>
      </c>
      <c r="N9" s="11" t="s">
        <v>488</v>
      </c>
      <c r="O9" s="15"/>
      <c r="P9" s="15"/>
      <c r="Q9" s="15"/>
      <c r="R9" s="15"/>
      <c r="S9" s="15"/>
      <c r="T9" s="15"/>
      <c r="U9" s="14"/>
      <c r="V9" s="14"/>
      <c r="W9" s="15"/>
      <c r="X9" s="15"/>
      <c r="Y9" s="15"/>
      <c r="Z9" s="15"/>
      <c r="AA9" s="15"/>
      <c r="AB9" s="15"/>
      <c r="AC9" s="15"/>
      <c r="AD9" s="15"/>
      <c r="AE9" s="15"/>
      <c r="AF9" s="15"/>
      <c r="AG9" s="15"/>
      <c r="AH9" s="15"/>
      <c r="AI9" s="15"/>
      <c r="AJ9" s="15"/>
    </row>
    <row r="10" ht="39.0" customHeight="1">
      <c r="A10" s="9" t="s">
        <v>492</v>
      </c>
      <c r="B10" s="10" t="s">
        <v>483</v>
      </c>
      <c r="C10" s="11" t="s">
        <v>495</v>
      </c>
      <c r="D10" s="11" t="s">
        <v>496</v>
      </c>
      <c r="E10" s="10" t="s">
        <v>140</v>
      </c>
      <c r="F10" s="13" t="s">
        <v>282</v>
      </c>
      <c r="G10" s="13" t="s">
        <v>269</v>
      </c>
      <c r="H10" s="13" t="s">
        <v>283</v>
      </c>
      <c r="I10" s="13" t="s">
        <v>105</v>
      </c>
      <c r="J10" s="13" t="s">
        <v>148</v>
      </c>
      <c r="K10" s="13" t="s">
        <v>150</v>
      </c>
      <c r="L10" s="10" t="s">
        <v>480</v>
      </c>
      <c r="M10" s="13" t="s">
        <v>112</v>
      </c>
      <c r="N10" s="11" t="s">
        <v>500</v>
      </c>
      <c r="O10" s="15"/>
      <c r="P10" s="15"/>
      <c r="Q10" s="15"/>
      <c r="R10" s="15"/>
      <c r="S10" s="15"/>
      <c r="T10" s="15"/>
      <c r="U10" s="15"/>
      <c r="V10" s="14"/>
      <c r="W10" s="14"/>
      <c r="X10" s="15"/>
      <c r="Y10" s="15"/>
      <c r="Z10" s="15"/>
      <c r="AA10" s="15"/>
      <c r="AB10" s="15"/>
      <c r="AC10" s="15"/>
      <c r="AD10" s="15"/>
      <c r="AE10" s="15"/>
      <c r="AF10" s="15"/>
      <c r="AG10" s="15"/>
      <c r="AH10" s="15"/>
      <c r="AI10" s="15"/>
      <c r="AJ10" s="15"/>
    </row>
    <row r="11" ht="51.75" customHeight="1">
      <c r="A11" s="9" t="s">
        <v>503</v>
      </c>
      <c r="B11" s="10" t="s">
        <v>483</v>
      </c>
      <c r="C11" s="11" t="s">
        <v>505</v>
      </c>
      <c r="D11" s="11" t="s">
        <v>507</v>
      </c>
      <c r="E11" s="10" t="s">
        <v>140</v>
      </c>
      <c r="F11" s="13" t="s">
        <v>305</v>
      </c>
      <c r="G11" s="13" t="s">
        <v>294</v>
      </c>
      <c r="H11" s="13" t="s">
        <v>306</v>
      </c>
      <c r="I11" s="13" t="s">
        <v>105</v>
      </c>
      <c r="J11" s="13" t="s">
        <v>148</v>
      </c>
      <c r="K11" s="13" t="s">
        <v>150</v>
      </c>
      <c r="L11" s="10" t="s">
        <v>310</v>
      </c>
      <c r="M11" s="13" t="s">
        <v>112</v>
      </c>
      <c r="N11" s="11" t="s">
        <v>511</v>
      </c>
      <c r="O11" s="15"/>
      <c r="P11" s="15"/>
      <c r="Q11" s="15"/>
      <c r="R11" s="15"/>
      <c r="S11" s="15"/>
      <c r="T11" s="15"/>
      <c r="U11" s="15"/>
      <c r="V11" s="15"/>
      <c r="W11" s="14"/>
      <c r="X11" s="14"/>
      <c r="Y11" s="15"/>
      <c r="Z11" s="15"/>
      <c r="AA11" s="15"/>
      <c r="AB11" s="15"/>
      <c r="AC11" s="15"/>
      <c r="AD11" s="15"/>
      <c r="AE11" s="15"/>
      <c r="AF11" s="15"/>
      <c r="AG11" s="15"/>
      <c r="AH11" s="15"/>
      <c r="AI11" s="15"/>
      <c r="AJ11" s="15"/>
    </row>
    <row r="12" ht="51.75" customHeight="1">
      <c r="A12" s="9" t="s">
        <v>514</v>
      </c>
      <c r="B12" s="10" t="s">
        <v>516</v>
      </c>
      <c r="C12" s="11" t="s">
        <v>518</v>
      </c>
      <c r="D12" s="11" t="s">
        <v>519</v>
      </c>
      <c r="E12" s="10" t="s">
        <v>140</v>
      </c>
      <c r="F12" s="13" t="s">
        <v>358</v>
      </c>
      <c r="G12" s="13" t="s">
        <v>360</v>
      </c>
      <c r="H12" s="13" t="s">
        <v>361</v>
      </c>
      <c r="I12" s="13" t="s">
        <v>105</v>
      </c>
      <c r="J12" s="13" t="s">
        <v>148</v>
      </c>
      <c r="K12" s="13" t="s">
        <v>150</v>
      </c>
      <c r="L12" s="10" t="s">
        <v>492</v>
      </c>
      <c r="M12" s="13" t="s">
        <v>112</v>
      </c>
      <c r="N12" s="11" t="s">
        <v>522</v>
      </c>
      <c r="O12" s="15"/>
      <c r="P12" s="15"/>
      <c r="Q12" s="15"/>
      <c r="R12" s="15"/>
      <c r="S12" s="15"/>
      <c r="T12" s="15"/>
      <c r="U12" s="15"/>
      <c r="V12" s="15"/>
      <c r="W12" s="15"/>
      <c r="X12" s="15"/>
      <c r="Y12" s="15"/>
      <c r="Z12" s="14"/>
      <c r="AA12" s="14"/>
      <c r="AB12" s="15"/>
      <c r="AC12" s="15"/>
      <c r="AD12" s="15"/>
      <c r="AE12" s="15"/>
      <c r="AF12" s="15"/>
      <c r="AG12" s="15"/>
      <c r="AH12" s="15"/>
      <c r="AI12" s="15"/>
      <c r="AJ12" s="15"/>
    </row>
    <row r="13" ht="64.5" customHeight="1">
      <c r="A13" s="9" t="s">
        <v>524</v>
      </c>
      <c r="B13" s="10" t="s">
        <v>516</v>
      </c>
      <c r="C13" s="11" t="s">
        <v>525</v>
      </c>
      <c r="D13" s="11" t="s">
        <v>526</v>
      </c>
      <c r="E13" s="10" t="s">
        <v>140</v>
      </c>
      <c r="F13" s="13" t="s">
        <v>528</v>
      </c>
      <c r="G13" s="13" t="s">
        <v>344</v>
      </c>
      <c r="H13" s="13" t="s">
        <v>361</v>
      </c>
      <c r="I13" s="13" t="s">
        <v>105</v>
      </c>
      <c r="J13" s="13" t="s">
        <v>148</v>
      </c>
      <c r="K13" s="13" t="s">
        <v>150</v>
      </c>
      <c r="L13" s="10" t="s">
        <v>514</v>
      </c>
      <c r="M13" s="13" t="s">
        <v>112</v>
      </c>
      <c r="N13" s="11" t="s">
        <v>531</v>
      </c>
      <c r="O13" s="15"/>
      <c r="P13" s="15"/>
      <c r="Q13" s="15"/>
      <c r="R13" s="15"/>
      <c r="S13" s="15"/>
      <c r="T13" s="15"/>
      <c r="U13" s="15"/>
      <c r="V13" s="15"/>
      <c r="W13" s="15"/>
      <c r="X13" s="15"/>
      <c r="Y13" s="14"/>
      <c r="Z13" s="14"/>
      <c r="AA13" s="14"/>
      <c r="AB13" s="15"/>
      <c r="AC13" s="15"/>
      <c r="AD13" s="15"/>
      <c r="AE13" s="15"/>
      <c r="AF13" s="15"/>
      <c r="AG13" s="15"/>
      <c r="AH13" s="15"/>
      <c r="AI13" s="15"/>
      <c r="AJ13" s="15"/>
    </row>
    <row r="14" ht="51.75" customHeight="1">
      <c r="A14" s="9" t="s">
        <v>533</v>
      </c>
      <c r="B14" s="10" t="s">
        <v>516</v>
      </c>
      <c r="C14" s="11" t="s">
        <v>534</v>
      </c>
      <c r="D14" s="11" t="s">
        <v>535</v>
      </c>
      <c r="E14" s="10" t="s">
        <v>140</v>
      </c>
      <c r="F14" s="13" t="s">
        <v>373</v>
      </c>
      <c r="G14" s="13" t="s">
        <v>376</v>
      </c>
      <c r="H14" s="13" t="s">
        <v>377</v>
      </c>
      <c r="I14" s="13" t="s">
        <v>105</v>
      </c>
      <c r="J14" s="13" t="s">
        <v>148</v>
      </c>
      <c r="K14" s="13" t="s">
        <v>150</v>
      </c>
      <c r="L14" s="10" t="s">
        <v>539</v>
      </c>
      <c r="M14" s="13" t="s">
        <v>112</v>
      </c>
      <c r="N14" s="11" t="s">
        <v>540</v>
      </c>
      <c r="O14" s="15"/>
      <c r="P14" s="15"/>
      <c r="Q14" s="15"/>
      <c r="R14" s="15"/>
      <c r="S14" s="15"/>
      <c r="T14" s="15"/>
      <c r="U14" s="15"/>
      <c r="V14" s="15"/>
      <c r="W14" s="15"/>
      <c r="X14" s="15"/>
      <c r="Y14" s="15"/>
      <c r="Z14" s="15"/>
      <c r="AA14" s="14"/>
      <c r="AB14" s="14"/>
      <c r="AC14" s="15"/>
      <c r="AD14" s="15"/>
      <c r="AE14" s="15"/>
      <c r="AF14" s="15"/>
      <c r="AG14" s="15"/>
      <c r="AH14" s="15"/>
      <c r="AI14" s="15"/>
      <c r="AJ14" s="15"/>
    </row>
    <row r="15" ht="51.75" customHeight="1">
      <c r="A15" s="9" t="s">
        <v>542</v>
      </c>
      <c r="B15" s="10" t="s">
        <v>516</v>
      </c>
      <c r="C15" s="11" t="s">
        <v>543</v>
      </c>
      <c r="D15" s="11" t="s">
        <v>544</v>
      </c>
      <c r="E15" s="10" t="s">
        <v>140</v>
      </c>
      <c r="F15" s="13" t="s">
        <v>69</v>
      </c>
      <c r="G15" s="13" t="s">
        <v>379</v>
      </c>
      <c r="H15" s="13" t="s">
        <v>377</v>
      </c>
      <c r="I15" s="13" t="s">
        <v>105</v>
      </c>
      <c r="J15" s="13" t="s">
        <v>148</v>
      </c>
      <c r="K15" s="13" t="s">
        <v>150</v>
      </c>
      <c r="L15" s="10" t="s">
        <v>332</v>
      </c>
      <c r="M15" s="13" t="s">
        <v>165</v>
      </c>
      <c r="N15" s="11" t="s">
        <v>549</v>
      </c>
      <c r="O15" s="15"/>
      <c r="P15" s="15"/>
      <c r="Q15" s="15"/>
      <c r="R15" s="15"/>
      <c r="S15" s="15"/>
      <c r="T15" s="15"/>
      <c r="U15" s="15"/>
      <c r="V15" s="15"/>
      <c r="W15" s="15"/>
      <c r="X15" s="15"/>
      <c r="Y15" s="15"/>
      <c r="Z15" s="15"/>
      <c r="AA15" s="15"/>
      <c r="AB15" s="14"/>
      <c r="AC15" s="15"/>
      <c r="AD15" s="15"/>
      <c r="AE15" s="15"/>
      <c r="AF15" s="15"/>
      <c r="AG15" s="15"/>
      <c r="AH15" s="15"/>
      <c r="AI15" s="15"/>
      <c r="AJ15" s="15"/>
    </row>
    <row r="16" ht="78.0" customHeight="1">
      <c r="A16" s="9" t="s">
        <v>550</v>
      </c>
      <c r="B16" s="10" t="s">
        <v>551</v>
      </c>
      <c r="C16" s="11" t="s">
        <v>552</v>
      </c>
      <c r="D16" s="11" t="s">
        <v>553</v>
      </c>
      <c r="E16" s="10" t="s">
        <v>140</v>
      </c>
      <c r="F16" s="13" t="s">
        <v>555</v>
      </c>
      <c r="G16" s="13" t="s">
        <v>391</v>
      </c>
      <c r="H16" s="13" t="s">
        <v>557</v>
      </c>
      <c r="I16" s="13" t="s">
        <v>105</v>
      </c>
      <c r="J16" s="13" t="s">
        <v>148</v>
      </c>
      <c r="K16" s="13" t="s">
        <v>150</v>
      </c>
      <c r="L16" s="10" t="s">
        <v>478</v>
      </c>
      <c r="M16" s="13" t="s">
        <v>112</v>
      </c>
      <c r="N16" s="11" t="s">
        <v>559</v>
      </c>
      <c r="O16" s="15"/>
      <c r="P16" s="15"/>
      <c r="Q16" s="15"/>
      <c r="R16" s="15"/>
      <c r="S16" s="15"/>
      <c r="T16" s="15"/>
      <c r="U16" s="15"/>
      <c r="V16" s="15"/>
      <c r="W16" s="15"/>
      <c r="X16" s="15"/>
      <c r="Y16" s="15"/>
      <c r="Z16" s="15"/>
      <c r="AA16" s="15"/>
      <c r="AB16" s="15"/>
      <c r="AC16" s="14"/>
      <c r="AD16" s="14"/>
      <c r="AE16" s="14"/>
      <c r="AF16" s="15"/>
      <c r="AG16" s="15"/>
      <c r="AH16" s="15"/>
      <c r="AI16" s="15"/>
      <c r="AJ16" s="15"/>
    </row>
    <row r="17" ht="51.75" customHeight="1">
      <c r="A17" s="9" t="s">
        <v>560</v>
      </c>
      <c r="B17" s="10" t="s">
        <v>551</v>
      </c>
      <c r="C17" s="11" t="s">
        <v>561</v>
      </c>
      <c r="D17" s="11" t="s">
        <v>563</v>
      </c>
      <c r="E17" s="10" t="s">
        <v>140</v>
      </c>
      <c r="F17" s="13" t="s">
        <v>566</v>
      </c>
      <c r="G17" s="13" t="s">
        <v>567</v>
      </c>
      <c r="H17" s="13" t="s">
        <v>568</v>
      </c>
      <c r="I17" s="13" t="s">
        <v>105</v>
      </c>
      <c r="J17" s="13" t="s">
        <v>148</v>
      </c>
      <c r="K17" s="13" t="s">
        <v>150</v>
      </c>
      <c r="L17" s="10" t="s">
        <v>457</v>
      </c>
      <c r="M17" s="13" t="s">
        <v>112</v>
      </c>
      <c r="N17" s="11" t="s">
        <v>569</v>
      </c>
      <c r="O17" s="15"/>
      <c r="P17" s="15"/>
      <c r="Q17" s="15"/>
      <c r="R17" s="15"/>
      <c r="S17" s="15"/>
      <c r="T17" s="15"/>
      <c r="U17" s="15"/>
      <c r="V17" s="15"/>
      <c r="W17" s="15"/>
      <c r="X17" s="15"/>
      <c r="Y17" s="15"/>
      <c r="Z17" s="15"/>
      <c r="AA17" s="15"/>
      <c r="AB17" s="15"/>
      <c r="AC17" s="15"/>
      <c r="AD17" s="15"/>
      <c r="AE17" s="14"/>
      <c r="AF17" s="14"/>
      <c r="AG17" s="15"/>
      <c r="AH17" s="15"/>
      <c r="AI17" s="15"/>
      <c r="AJ17" s="15"/>
    </row>
    <row r="18" ht="78.0" customHeight="1">
      <c r="A18" s="9" t="s">
        <v>570</v>
      </c>
      <c r="B18" s="10" t="s">
        <v>551</v>
      </c>
      <c r="C18" s="11" t="s">
        <v>572</v>
      </c>
      <c r="D18" s="11" t="s">
        <v>574</v>
      </c>
      <c r="E18" s="10" t="s">
        <v>140</v>
      </c>
      <c r="F18" s="13" t="s">
        <v>74</v>
      </c>
      <c r="G18" s="13" t="s">
        <v>576</v>
      </c>
      <c r="H18" s="13" t="s">
        <v>568</v>
      </c>
      <c r="I18" s="13" t="s">
        <v>105</v>
      </c>
      <c r="J18" s="13" t="s">
        <v>148</v>
      </c>
      <c r="K18" s="13" t="s">
        <v>150</v>
      </c>
      <c r="L18" s="10" t="s">
        <v>560</v>
      </c>
      <c r="M18" s="13" t="s">
        <v>112</v>
      </c>
      <c r="N18" s="11" t="s">
        <v>577</v>
      </c>
      <c r="O18" s="15"/>
      <c r="P18" s="15"/>
      <c r="Q18" s="15"/>
      <c r="R18" s="15"/>
      <c r="S18" s="15"/>
      <c r="T18" s="15"/>
      <c r="U18" s="15"/>
      <c r="V18" s="15"/>
      <c r="W18" s="15"/>
      <c r="X18" s="15"/>
      <c r="Y18" s="15"/>
      <c r="Z18" s="15"/>
      <c r="AA18" s="15"/>
      <c r="AB18" s="15"/>
      <c r="AC18" s="15"/>
      <c r="AD18" s="15"/>
      <c r="AE18" s="15"/>
      <c r="AF18" s="14"/>
      <c r="AG18" s="15"/>
      <c r="AH18" s="15"/>
      <c r="AI18" s="15"/>
      <c r="AJ18" s="15"/>
    </row>
    <row r="19" ht="27.75" customHeight="1">
      <c r="A19" s="9" t="s">
        <v>579</v>
      </c>
      <c r="B19" s="10" t="s">
        <v>580</v>
      </c>
      <c r="C19" s="11" t="s">
        <v>581</v>
      </c>
      <c r="D19" s="11" t="s">
        <v>583</v>
      </c>
      <c r="E19" s="10" t="s">
        <v>140</v>
      </c>
      <c r="F19" s="13" t="s">
        <v>586</v>
      </c>
      <c r="G19" s="13" t="s">
        <v>576</v>
      </c>
      <c r="H19" s="13" t="s">
        <v>363</v>
      </c>
      <c r="I19" s="13" t="s">
        <v>105</v>
      </c>
      <c r="J19" s="13" t="s">
        <v>148</v>
      </c>
      <c r="K19" s="13" t="s">
        <v>150</v>
      </c>
      <c r="L19" s="10" t="s">
        <v>570</v>
      </c>
      <c r="M19" s="13" t="s">
        <v>165</v>
      </c>
      <c r="N19" s="11" t="s">
        <v>587</v>
      </c>
      <c r="O19" s="15"/>
      <c r="P19" s="15"/>
      <c r="Q19" s="15"/>
      <c r="R19" s="15"/>
      <c r="S19" s="15"/>
      <c r="T19" s="15"/>
      <c r="U19" s="15"/>
      <c r="V19" s="15"/>
      <c r="W19" s="15"/>
      <c r="X19" s="15"/>
      <c r="Y19" s="15"/>
      <c r="Z19" s="15"/>
      <c r="AA19" s="15"/>
      <c r="AB19" s="15"/>
      <c r="AC19" s="15"/>
      <c r="AD19" s="15"/>
      <c r="AE19" s="15"/>
      <c r="AF19" s="14"/>
      <c r="AG19" s="14"/>
      <c r="AH19" s="15"/>
      <c r="AI19" s="15"/>
      <c r="AJ19" s="15"/>
    </row>
    <row r="20" ht="51.75" customHeight="1">
      <c r="A20" s="9" t="s">
        <v>422</v>
      </c>
      <c r="B20" s="10" t="s">
        <v>408</v>
      </c>
      <c r="C20" s="11" t="s">
        <v>588</v>
      </c>
      <c r="D20" s="11" t="s">
        <v>589</v>
      </c>
      <c r="E20" s="10" t="s">
        <v>140</v>
      </c>
      <c r="F20" s="13" t="s">
        <v>590</v>
      </c>
      <c r="G20" s="13" t="s">
        <v>576</v>
      </c>
      <c r="H20" s="13" t="s">
        <v>400</v>
      </c>
      <c r="I20" s="13" t="s">
        <v>105</v>
      </c>
      <c r="J20" s="13" t="s">
        <v>148</v>
      </c>
      <c r="K20" s="13" t="s">
        <v>150</v>
      </c>
      <c r="L20" s="10" t="s">
        <v>385</v>
      </c>
      <c r="M20" s="13" t="s">
        <v>112</v>
      </c>
      <c r="N20" s="11" t="s">
        <v>594</v>
      </c>
      <c r="O20" s="15"/>
      <c r="P20" s="15"/>
      <c r="Q20" s="15"/>
      <c r="R20" s="15"/>
      <c r="S20" s="15"/>
      <c r="T20" s="15"/>
      <c r="U20" s="15"/>
      <c r="V20" s="15"/>
      <c r="W20" s="15"/>
      <c r="X20" s="15"/>
      <c r="Y20" s="15"/>
      <c r="Z20" s="15"/>
      <c r="AA20" s="15"/>
      <c r="AB20" s="15"/>
      <c r="AC20" s="15"/>
      <c r="AD20" s="15"/>
      <c r="AE20" s="15"/>
      <c r="AF20" s="14"/>
      <c r="AG20" s="14"/>
      <c r="AH20" s="14"/>
      <c r="AI20" s="15"/>
      <c r="AJ20" s="15"/>
    </row>
    <row r="21" ht="27.75" customHeight="1">
      <c r="A21" s="9" t="s">
        <v>596</v>
      </c>
      <c r="B21" s="10" t="s">
        <v>408</v>
      </c>
      <c r="C21" s="11" t="s">
        <v>597</v>
      </c>
      <c r="D21" s="11" t="s">
        <v>598</v>
      </c>
      <c r="E21" s="10" t="s">
        <v>140</v>
      </c>
      <c r="F21" s="13" t="s">
        <v>78</v>
      </c>
      <c r="G21" s="13" t="s">
        <v>420</v>
      </c>
      <c r="H21" s="13" t="s">
        <v>400</v>
      </c>
      <c r="I21" s="13" t="s">
        <v>260</v>
      </c>
      <c r="J21" s="13" t="s">
        <v>148</v>
      </c>
      <c r="K21" s="13" t="s">
        <v>150</v>
      </c>
      <c r="L21" s="10" t="s">
        <v>606</v>
      </c>
      <c r="M21" s="13" t="s">
        <v>165</v>
      </c>
      <c r="N21" s="11"/>
      <c r="O21" s="15"/>
      <c r="P21" s="15"/>
      <c r="Q21" s="15"/>
      <c r="R21" s="15"/>
      <c r="S21" s="15"/>
      <c r="T21" s="15"/>
      <c r="U21" s="15"/>
      <c r="V21" s="15"/>
      <c r="W21" s="15"/>
      <c r="X21" s="15"/>
      <c r="Y21" s="15"/>
      <c r="Z21" s="15"/>
      <c r="AA21" s="15"/>
      <c r="AB21" s="15"/>
      <c r="AC21" s="15"/>
      <c r="AD21" s="15"/>
      <c r="AE21" s="15"/>
      <c r="AF21" s="15"/>
      <c r="AG21" s="15"/>
      <c r="AH21" s="14"/>
      <c r="AI21" s="15"/>
      <c r="AJ21" s="15"/>
    </row>
    <row r="22" ht="64.5" customHeight="1">
      <c r="A22" s="9" t="s">
        <v>609</v>
      </c>
      <c r="B22" s="10" t="s">
        <v>408</v>
      </c>
      <c r="C22" s="11" t="s">
        <v>610</v>
      </c>
      <c r="D22" s="11" t="s">
        <v>611</v>
      </c>
      <c r="E22" s="10" t="s">
        <v>140</v>
      </c>
      <c r="F22" s="13" t="s">
        <v>451</v>
      </c>
      <c r="G22" s="13" t="s">
        <v>452</v>
      </c>
      <c r="H22" s="13" t="s">
        <v>453</v>
      </c>
      <c r="I22" s="13" t="s">
        <v>105</v>
      </c>
      <c r="J22" s="13" t="s">
        <v>148</v>
      </c>
      <c r="K22" s="13" t="s">
        <v>150</v>
      </c>
      <c r="L22" s="10" t="s">
        <v>422</v>
      </c>
      <c r="M22" s="13" t="s">
        <v>112</v>
      </c>
      <c r="N22" s="11" t="s">
        <v>615</v>
      </c>
      <c r="O22" s="15"/>
      <c r="P22" s="15"/>
      <c r="Q22" s="15"/>
      <c r="R22" s="15"/>
      <c r="S22" s="15"/>
      <c r="T22" s="15"/>
      <c r="U22" s="15"/>
      <c r="V22" s="15"/>
      <c r="W22" s="15"/>
      <c r="X22" s="15"/>
      <c r="Y22" s="15"/>
      <c r="Z22" s="15"/>
      <c r="AA22" s="15"/>
      <c r="AB22" s="15"/>
      <c r="AC22" s="15"/>
      <c r="AD22" s="15"/>
      <c r="AE22" s="15"/>
      <c r="AF22" s="15"/>
      <c r="AG22" s="15"/>
      <c r="AH22" s="15"/>
      <c r="AI22" s="14"/>
      <c r="AJ22" s="14"/>
    </row>
    <row r="23" ht="64.5" customHeight="1">
      <c r="A23" s="9" t="s">
        <v>618</v>
      </c>
      <c r="B23" s="10" t="s">
        <v>408</v>
      </c>
      <c r="C23" s="11" t="s">
        <v>619</v>
      </c>
      <c r="D23" s="11" t="s">
        <v>620</v>
      </c>
      <c r="E23" s="10" t="s">
        <v>140</v>
      </c>
      <c r="F23" s="13" t="s">
        <v>566</v>
      </c>
      <c r="G23" s="13" t="s">
        <v>567</v>
      </c>
      <c r="H23" s="13" t="s">
        <v>568</v>
      </c>
      <c r="I23" s="13" t="s">
        <v>105</v>
      </c>
      <c r="J23" s="13" t="s">
        <v>148</v>
      </c>
      <c r="K23" s="13" t="s">
        <v>150</v>
      </c>
      <c r="L23" s="10" t="s">
        <v>524</v>
      </c>
      <c r="M23" s="13" t="s">
        <v>112</v>
      </c>
      <c r="N23" s="11" t="s">
        <v>624</v>
      </c>
      <c r="O23" s="15"/>
      <c r="P23" s="15"/>
      <c r="Q23" s="15"/>
      <c r="R23" s="15"/>
      <c r="S23" s="15"/>
      <c r="T23" s="15"/>
      <c r="U23" s="15"/>
      <c r="V23" s="15"/>
      <c r="W23" s="15"/>
      <c r="X23" s="15"/>
      <c r="Y23" s="15"/>
      <c r="Z23" s="15"/>
      <c r="AA23" s="15"/>
      <c r="AB23" s="15"/>
      <c r="AC23" s="15"/>
      <c r="AD23" s="15"/>
      <c r="AE23" s="14"/>
      <c r="AF23" s="14"/>
      <c r="AG23" s="15"/>
      <c r="AH23" s="15"/>
      <c r="AI23" s="15"/>
      <c r="AJ23" s="15"/>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23"/>
  <mergeCells count="1">
    <mergeCell ref="A1:AJ1"/>
  </mergeCells>
  <conditionalFormatting sqref="J3:J23">
    <cfRule type="cellIs" dxfId="0" priority="1" operator="equal">
      <formula>"Hoàn thành"</formula>
    </cfRule>
  </conditionalFormatting>
  <conditionalFormatting sqref="J3:J23">
    <cfRule type="cellIs" dxfId="1" priority="2" operator="equal">
      <formula>"Đang làm"</formula>
    </cfRule>
  </conditionalFormatting>
  <conditionalFormatting sqref="J3:J23">
    <cfRule type="cellIs" dxfId="2" priority="3" operator="equal">
      <formula>"Đang review"</formula>
    </cfRule>
  </conditionalFormatting>
  <conditionalFormatting sqref="J3:J23">
    <cfRule type="cellIs" dxfId="3" priority="4" operator="equal">
      <formula>"Bị chặn"</formula>
    </cfRule>
  </conditionalFormatting>
  <conditionalFormatting sqref="J3:J23">
    <cfRule type="cellIs" dxfId="4" priority="5" operator="equal">
      <formula>"Chưa bắt đầu"</formula>
    </cfRule>
  </conditionalFormatting>
  <dataValidations>
    <dataValidation type="list" allowBlank="1" sqref="E3:E23">
      <formula1>"BE1 – Mỹ,BE2 – Đạt,FE1 – Thịnh,FE2 – Ngọc,FE3 – Khang,Cả nhóm,Chưa gán"</formula1>
    </dataValidation>
    <dataValidation type="list" allowBlank="1" sqref="J3:J23">
      <formula1>"Chưa bắt đầu,Đang làm,Đang review,Hoàn thành,Bị chặn"</formula1>
    </dataValidation>
    <dataValidation type="list" allowBlank="1" sqref="I3:I23">
      <formula1>"Cao,Trung bình,Thấp"</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46.0"/>
    <col customWidth="1" min="4" max="4" width="52.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2.0"/>
    <col customWidth="1" min="15" max="36" width="4.14"/>
  </cols>
  <sheetData>
    <row r="1" ht="21.75" customHeight="1">
      <c r="A1" s="23" t="s">
        <v>672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8" t="s">
        <v>16</v>
      </c>
      <c r="B2" s="8" t="s">
        <v>22</v>
      </c>
      <c r="C2" s="8" t="s">
        <v>23</v>
      </c>
      <c r="D2" s="8" t="s">
        <v>25</v>
      </c>
      <c r="E2" s="8" t="s">
        <v>27</v>
      </c>
      <c r="F2" s="8" t="s">
        <v>29</v>
      </c>
      <c r="G2" s="8" t="s">
        <v>31</v>
      </c>
      <c r="H2" s="8" t="s">
        <v>32</v>
      </c>
      <c r="I2" s="8" t="s">
        <v>35</v>
      </c>
      <c r="J2" s="8" t="s">
        <v>37</v>
      </c>
      <c r="K2" s="8" t="s">
        <v>39</v>
      </c>
      <c r="L2" s="8" t="s">
        <v>40</v>
      </c>
      <c r="M2" s="8" t="s">
        <v>42</v>
      </c>
      <c r="N2" s="8" t="s">
        <v>43</v>
      </c>
      <c r="O2" s="8" t="s">
        <v>44</v>
      </c>
      <c r="P2" s="8" t="s">
        <v>45</v>
      </c>
      <c r="Q2" s="8" t="s">
        <v>46</v>
      </c>
      <c r="R2" s="8" t="s">
        <v>48</v>
      </c>
      <c r="S2" s="8" t="s">
        <v>50</v>
      </c>
      <c r="T2" s="8" t="s">
        <v>51</v>
      </c>
      <c r="U2" s="8" t="s">
        <v>54</v>
      </c>
      <c r="V2" s="8" t="s">
        <v>56</v>
      </c>
      <c r="W2" s="8" t="s">
        <v>58</v>
      </c>
      <c r="X2" s="8" t="s">
        <v>59</v>
      </c>
      <c r="Y2" s="8" t="s">
        <v>62</v>
      </c>
      <c r="Z2" s="8" t="s">
        <v>63</v>
      </c>
      <c r="AA2" s="8" t="s">
        <v>65</v>
      </c>
      <c r="AB2" s="8" t="s">
        <v>69</v>
      </c>
      <c r="AC2" s="8" t="s">
        <v>71</v>
      </c>
      <c r="AD2" s="8" t="s">
        <v>72</v>
      </c>
      <c r="AE2" s="8" t="s">
        <v>73</v>
      </c>
      <c r="AF2" s="8" t="s">
        <v>74</v>
      </c>
      <c r="AG2" s="8" t="s">
        <v>76</v>
      </c>
      <c r="AH2" s="8" t="s">
        <v>78</v>
      </c>
      <c r="AI2" s="8" t="s">
        <v>80</v>
      </c>
      <c r="AJ2" s="8" t="s">
        <v>82</v>
      </c>
    </row>
    <row r="3" ht="51.75" customHeight="1">
      <c r="A3" s="16" t="s">
        <v>673</v>
      </c>
      <c r="B3" s="17" t="s">
        <v>674</v>
      </c>
      <c r="C3" s="18" t="s">
        <v>675</v>
      </c>
      <c r="D3" s="18" t="s">
        <v>676</v>
      </c>
      <c r="E3" s="17" t="s">
        <v>207</v>
      </c>
      <c r="F3" s="19" t="s">
        <v>45</v>
      </c>
      <c r="G3" s="19" t="s">
        <v>147</v>
      </c>
      <c r="H3" s="19" t="s">
        <v>143</v>
      </c>
      <c r="I3" s="19" t="s">
        <v>105</v>
      </c>
      <c r="J3" s="20" t="s">
        <v>108</v>
      </c>
      <c r="K3" s="13" t="s">
        <v>109</v>
      </c>
      <c r="L3" s="17"/>
      <c r="M3" s="19" t="s">
        <v>174</v>
      </c>
      <c r="N3" s="18" t="s">
        <v>677</v>
      </c>
      <c r="O3" s="15"/>
      <c r="P3" s="14"/>
      <c r="Q3" s="15"/>
      <c r="R3" s="15"/>
      <c r="S3" s="15"/>
      <c r="T3" s="15"/>
      <c r="U3" s="15"/>
      <c r="V3" s="15"/>
      <c r="W3" s="15"/>
      <c r="X3" s="15"/>
      <c r="Y3" s="15"/>
      <c r="Z3" s="15"/>
      <c r="AA3" s="15"/>
      <c r="AB3" s="15"/>
      <c r="AC3" s="15"/>
      <c r="AD3" s="15"/>
      <c r="AE3" s="15"/>
      <c r="AF3" s="15"/>
      <c r="AG3" s="15"/>
      <c r="AH3" s="15"/>
      <c r="AI3" s="15"/>
      <c r="AJ3" s="15"/>
    </row>
    <row r="4" ht="27.75" customHeight="1">
      <c r="A4" s="9" t="s">
        <v>678</v>
      </c>
      <c r="B4" s="10" t="s">
        <v>674</v>
      </c>
      <c r="C4" s="11" t="s">
        <v>679</v>
      </c>
      <c r="D4" s="11" t="s">
        <v>680</v>
      </c>
      <c r="E4" s="10" t="s">
        <v>68</v>
      </c>
      <c r="F4" s="13" t="s">
        <v>45</v>
      </c>
      <c r="G4" s="13" t="s">
        <v>147</v>
      </c>
      <c r="H4" s="13" t="s">
        <v>143</v>
      </c>
      <c r="I4" s="13" t="s">
        <v>105</v>
      </c>
      <c r="J4" s="13" t="s">
        <v>108</v>
      </c>
      <c r="K4" s="13" t="s">
        <v>109</v>
      </c>
      <c r="L4" s="10"/>
      <c r="M4" s="13" t="s">
        <v>165</v>
      </c>
      <c r="N4" s="11" t="s">
        <v>681</v>
      </c>
      <c r="O4" s="15"/>
      <c r="P4" s="14"/>
      <c r="Q4" s="15"/>
      <c r="R4" s="15"/>
      <c r="S4" s="15"/>
      <c r="T4" s="15"/>
      <c r="U4" s="15"/>
      <c r="V4" s="15"/>
      <c r="W4" s="15"/>
      <c r="X4" s="15"/>
      <c r="Y4" s="15"/>
      <c r="Z4" s="15"/>
      <c r="AA4" s="15"/>
      <c r="AB4" s="15"/>
      <c r="AC4" s="15"/>
      <c r="AD4" s="15"/>
      <c r="AE4" s="15"/>
      <c r="AF4" s="15"/>
      <c r="AG4" s="15"/>
      <c r="AH4" s="15"/>
      <c r="AI4" s="15"/>
      <c r="AJ4" s="15"/>
    </row>
    <row r="5" ht="39.0" customHeight="1">
      <c r="A5" s="9" t="s">
        <v>682</v>
      </c>
      <c r="B5" s="10" t="s">
        <v>674</v>
      </c>
      <c r="C5" s="11" t="s">
        <v>683</v>
      </c>
      <c r="D5" s="11" t="s">
        <v>684</v>
      </c>
      <c r="E5" s="10" t="s">
        <v>68</v>
      </c>
      <c r="F5" s="13" t="s">
        <v>144</v>
      </c>
      <c r="G5" s="13" t="s">
        <v>147</v>
      </c>
      <c r="H5" s="13" t="s">
        <v>151</v>
      </c>
      <c r="I5" s="13" t="s">
        <v>105</v>
      </c>
      <c r="J5" s="22" t="s">
        <v>108</v>
      </c>
      <c r="K5" s="13" t="s">
        <v>109</v>
      </c>
      <c r="L5" s="10" t="s">
        <v>678</v>
      </c>
      <c r="M5" s="13" t="s">
        <v>165</v>
      </c>
      <c r="N5" s="11" t="s">
        <v>685</v>
      </c>
      <c r="O5" s="15"/>
      <c r="P5" s="14"/>
      <c r="Q5" s="14"/>
      <c r="R5" s="15"/>
      <c r="S5" s="15"/>
      <c r="T5" s="15"/>
      <c r="U5" s="15"/>
      <c r="V5" s="15"/>
      <c r="W5" s="15"/>
      <c r="X5" s="15"/>
      <c r="Y5" s="15"/>
      <c r="Z5" s="15"/>
      <c r="AA5" s="15"/>
      <c r="AB5" s="15"/>
      <c r="AC5" s="15"/>
      <c r="AD5" s="15"/>
      <c r="AE5" s="15"/>
      <c r="AF5" s="15"/>
      <c r="AG5" s="15"/>
      <c r="AH5" s="15"/>
      <c r="AI5" s="15"/>
      <c r="AJ5" s="15"/>
    </row>
    <row r="6" ht="27.75" customHeight="1">
      <c r="A6" s="9" t="s">
        <v>686</v>
      </c>
      <c r="B6" s="10" t="s">
        <v>674</v>
      </c>
      <c r="C6" s="11" t="s">
        <v>687</v>
      </c>
      <c r="D6" s="11" t="s">
        <v>688</v>
      </c>
      <c r="E6" s="10" t="s">
        <v>68</v>
      </c>
      <c r="F6" s="13" t="s">
        <v>144</v>
      </c>
      <c r="G6" s="13" t="s">
        <v>147</v>
      </c>
      <c r="H6" s="13" t="s">
        <v>151</v>
      </c>
      <c r="I6" s="13" t="s">
        <v>105</v>
      </c>
      <c r="J6" s="22" t="s">
        <v>108</v>
      </c>
      <c r="K6" s="13" t="s">
        <v>109</v>
      </c>
      <c r="L6" s="10" t="s">
        <v>678</v>
      </c>
      <c r="M6" s="13" t="s">
        <v>165</v>
      </c>
      <c r="N6" s="11"/>
      <c r="O6" s="15"/>
      <c r="P6" s="14"/>
      <c r="Q6" s="14"/>
      <c r="R6" s="15"/>
      <c r="S6" s="15"/>
      <c r="T6" s="15"/>
      <c r="U6" s="15"/>
      <c r="V6" s="15"/>
      <c r="W6" s="15"/>
      <c r="X6" s="15"/>
      <c r="Y6" s="15"/>
      <c r="Z6" s="15"/>
      <c r="AA6" s="15"/>
      <c r="AB6" s="15"/>
      <c r="AC6" s="15"/>
      <c r="AD6" s="15"/>
      <c r="AE6" s="15"/>
      <c r="AF6" s="15"/>
      <c r="AG6" s="15"/>
      <c r="AH6" s="15"/>
      <c r="AI6" s="15"/>
      <c r="AJ6" s="15"/>
    </row>
    <row r="7" ht="27.75" customHeight="1">
      <c r="A7" s="9" t="s">
        <v>689</v>
      </c>
      <c r="B7" s="10" t="s">
        <v>674</v>
      </c>
      <c r="C7" s="11" t="s">
        <v>690</v>
      </c>
      <c r="D7" s="11" t="s">
        <v>691</v>
      </c>
      <c r="E7" s="10" t="s">
        <v>68</v>
      </c>
      <c r="F7" s="13" t="s">
        <v>246</v>
      </c>
      <c r="G7" s="13" t="s">
        <v>193</v>
      </c>
      <c r="H7" s="13" t="s">
        <v>233</v>
      </c>
      <c r="I7" s="13" t="s">
        <v>105</v>
      </c>
      <c r="J7" s="22" t="s">
        <v>108</v>
      </c>
      <c r="K7" s="13" t="s">
        <v>109</v>
      </c>
      <c r="L7" s="10" t="s">
        <v>686</v>
      </c>
      <c r="M7" s="13" t="s">
        <v>165</v>
      </c>
      <c r="N7" s="11"/>
      <c r="O7" s="15"/>
      <c r="P7" s="15"/>
      <c r="Q7" s="14"/>
      <c r="R7" s="14"/>
      <c r="S7" s="15"/>
      <c r="T7" s="15"/>
      <c r="U7" s="15"/>
      <c r="V7" s="15"/>
      <c r="W7" s="15"/>
      <c r="X7" s="15"/>
      <c r="Y7" s="15"/>
      <c r="Z7" s="15"/>
      <c r="AA7" s="15"/>
      <c r="AB7" s="15"/>
      <c r="AC7" s="15"/>
      <c r="AD7" s="15"/>
      <c r="AE7" s="15"/>
      <c r="AF7" s="15"/>
      <c r="AG7" s="15"/>
      <c r="AH7" s="15"/>
      <c r="AI7" s="15"/>
      <c r="AJ7" s="15"/>
    </row>
    <row r="8" ht="27.75" customHeight="1">
      <c r="A8" s="9" t="s">
        <v>692</v>
      </c>
      <c r="B8" s="10" t="s">
        <v>674</v>
      </c>
      <c r="C8" s="11" t="s">
        <v>693</v>
      </c>
      <c r="D8" s="11" t="s">
        <v>694</v>
      </c>
      <c r="E8" s="10" t="s">
        <v>66</v>
      </c>
      <c r="F8" s="13" t="s">
        <v>46</v>
      </c>
      <c r="G8" s="13" t="s">
        <v>193</v>
      </c>
      <c r="H8" s="13" t="s">
        <v>151</v>
      </c>
      <c r="I8" s="13" t="s">
        <v>105</v>
      </c>
      <c r="J8" s="22" t="s">
        <v>521</v>
      </c>
      <c r="K8" s="13" t="s">
        <v>150</v>
      </c>
      <c r="L8" s="10" t="s">
        <v>682</v>
      </c>
      <c r="M8" s="13" t="s">
        <v>165</v>
      </c>
      <c r="N8" s="11"/>
      <c r="O8" s="15"/>
      <c r="P8" s="15"/>
      <c r="Q8" s="14"/>
      <c r="R8" s="15"/>
      <c r="S8" s="15"/>
      <c r="T8" s="15"/>
      <c r="U8" s="15"/>
      <c r="V8" s="15"/>
      <c r="W8" s="15"/>
      <c r="X8" s="15"/>
      <c r="Y8" s="15"/>
      <c r="Z8" s="15"/>
      <c r="AA8" s="15"/>
      <c r="AB8" s="15"/>
      <c r="AC8" s="15"/>
      <c r="AD8" s="15"/>
      <c r="AE8" s="15"/>
      <c r="AF8" s="15"/>
      <c r="AG8" s="15"/>
      <c r="AH8" s="15"/>
      <c r="AI8" s="15"/>
      <c r="AJ8" s="15"/>
    </row>
    <row r="9" ht="27.75" customHeight="1">
      <c r="A9" s="9" t="s">
        <v>695</v>
      </c>
      <c r="B9" s="10" t="s">
        <v>674</v>
      </c>
      <c r="C9" s="11" t="s">
        <v>696</v>
      </c>
      <c r="D9" s="11" t="s">
        <v>697</v>
      </c>
      <c r="E9" s="10" t="s">
        <v>66</v>
      </c>
      <c r="F9" s="13" t="s">
        <v>246</v>
      </c>
      <c r="G9" s="13" t="s">
        <v>193</v>
      </c>
      <c r="H9" s="13" t="s">
        <v>233</v>
      </c>
      <c r="I9" s="13" t="s">
        <v>105</v>
      </c>
      <c r="J9" s="13" t="s">
        <v>148</v>
      </c>
      <c r="K9" s="13" t="s">
        <v>150</v>
      </c>
      <c r="L9" s="10" t="s">
        <v>689</v>
      </c>
      <c r="M9" s="13" t="s">
        <v>112</v>
      </c>
      <c r="N9" s="11" t="s">
        <v>698</v>
      </c>
      <c r="O9" s="15"/>
      <c r="P9" s="15"/>
      <c r="Q9" s="14"/>
      <c r="R9" s="14"/>
      <c r="S9" s="15"/>
      <c r="T9" s="15"/>
      <c r="U9" s="15"/>
      <c r="V9" s="15"/>
      <c r="W9" s="15"/>
      <c r="X9" s="15"/>
      <c r="Y9" s="15"/>
      <c r="Z9" s="15"/>
      <c r="AA9" s="15"/>
      <c r="AB9" s="15"/>
      <c r="AC9" s="15"/>
      <c r="AD9" s="15"/>
      <c r="AE9" s="15"/>
      <c r="AF9" s="15"/>
      <c r="AG9" s="15"/>
      <c r="AH9" s="15"/>
      <c r="AI9" s="15"/>
      <c r="AJ9" s="15"/>
    </row>
    <row r="10" ht="51.75" customHeight="1">
      <c r="A10" s="9" t="s">
        <v>699</v>
      </c>
      <c r="B10" s="10" t="s">
        <v>674</v>
      </c>
      <c r="C10" s="11" t="s">
        <v>700</v>
      </c>
      <c r="D10" s="11" t="s">
        <v>701</v>
      </c>
      <c r="E10" s="12" t="s">
        <v>68</v>
      </c>
      <c r="F10" s="13" t="s">
        <v>144</v>
      </c>
      <c r="G10" s="13" t="s">
        <v>147</v>
      </c>
      <c r="H10" s="13" t="s">
        <v>151</v>
      </c>
      <c r="I10" s="13" t="s">
        <v>105</v>
      </c>
      <c r="J10" s="22" t="s">
        <v>703</v>
      </c>
      <c r="K10" s="13" t="s">
        <v>150</v>
      </c>
      <c r="L10" s="10"/>
      <c r="M10" s="13" t="s">
        <v>112</v>
      </c>
      <c r="N10" s="11" t="s">
        <v>704</v>
      </c>
      <c r="O10" s="15"/>
      <c r="P10" s="14"/>
      <c r="Q10" s="14"/>
      <c r="R10" s="15"/>
      <c r="S10" s="15"/>
      <c r="T10" s="15"/>
      <c r="U10" s="15"/>
      <c r="V10" s="15"/>
      <c r="W10" s="15"/>
      <c r="X10" s="15"/>
      <c r="Y10" s="15"/>
      <c r="Z10" s="15"/>
      <c r="AA10" s="15"/>
      <c r="AB10" s="15"/>
      <c r="AC10" s="15"/>
      <c r="AD10" s="15"/>
      <c r="AE10" s="15"/>
      <c r="AF10" s="15"/>
      <c r="AG10" s="15"/>
      <c r="AH10" s="15"/>
      <c r="AI10" s="15"/>
      <c r="AJ10" s="15"/>
    </row>
    <row r="11" ht="64.5" customHeight="1">
      <c r="A11" s="16" t="s">
        <v>705</v>
      </c>
      <c r="B11" s="17" t="s">
        <v>674</v>
      </c>
      <c r="C11" s="18" t="s">
        <v>706</v>
      </c>
      <c r="D11" s="18" t="s">
        <v>707</v>
      </c>
      <c r="E11" s="17" t="s">
        <v>66</v>
      </c>
      <c r="F11" s="19" t="s">
        <v>246</v>
      </c>
      <c r="G11" s="19" t="s">
        <v>193</v>
      </c>
      <c r="H11" s="19" t="s">
        <v>233</v>
      </c>
      <c r="I11" s="19" t="s">
        <v>105</v>
      </c>
      <c r="J11" s="19" t="s">
        <v>148</v>
      </c>
      <c r="K11" s="19" t="s">
        <v>150</v>
      </c>
      <c r="L11" s="17" t="s">
        <v>699</v>
      </c>
      <c r="M11" s="19" t="s">
        <v>174</v>
      </c>
      <c r="N11" s="18" t="s">
        <v>708</v>
      </c>
      <c r="O11" s="15"/>
      <c r="P11" s="15"/>
      <c r="Q11" s="14"/>
      <c r="R11" s="14"/>
      <c r="S11" s="15"/>
      <c r="T11" s="15"/>
      <c r="U11" s="15"/>
      <c r="V11" s="15"/>
      <c r="W11" s="15"/>
      <c r="X11" s="15"/>
      <c r="Y11" s="15"/>
      <c r="Z11" s="15"/>
      <c r="AA11" s="15"/>
      <c r="AB11" s="15"/>
      <c r="AC11" s="15"/>
      <c r="AD11" s="15"/>
      <c r="AE11" s="15"/>
      <c r="AF11" s="15"/>
      <c r="AG11" s="15"/>
      <c r="AH11" s="15"/>
      <c r="AI11" s="15"/>
      <c r="AJ11" s="15"/>
    </row>
    <row r="12" ht="39.0" customHeight="1">
      <c r="A12" s="16" t="s">
        <v>709</v>
      </c>
      <c r="B12" s="17" t="s">
        <v>674</v>
      </c>
      <c r="C12" s="18" t="s">
        <v>710</v>
      </c>
      <c r="D12" s="18" t="s">
        <v>711</v>
      </c>
      <c r="E12" s="17" t="s">
        <v>66</v>
      </c>
      <c r="F12" s="19" t="s">
        <v>48</v>
      </c>
      <c r="G12" s="19" t="s">
        <v>209</v>
      </c>
      <c r="H12" s="19" t="s">
        <v>233</v>
      </c>
      <c r="I12" s="19" t="s">
        <v>260</v>
      </c>
      <c r="J12" s="19" t="s">
        <v>148</v>
      </c>
      <c r="K12" s="19" t="s">
        <v>150</v>
      </c>
      <c r="L12" s="17" t="s">
        <v>705</v>
      </c>
      <c r="M12" s="19" t="s">
        <v>174</v>
      </c>
      <c r="N12" s="18" t="s">
        <v>712</v>
      </c>
      <c r="O12" s="15"/>
      <c r="P12" s="15"/>
      <c r="Q12" s="15"/>
      <c r="R12" s="14"/>
      <c r="S12" s="15"/>
      <c r="T12" s="15"/>
      <c r="U12" s="15"/>
      <c r="V12" s="15"/>
      <c r="W12" s="15"/>
      <c r="X12" s="15"/>
      <c r="Y12" s="15"/>
      <c r="Z12" s="15"/>
      <c r="AA12" s="15"/>
      <c r="AB12" s="15"/>
      <c r="AC12" s="15"/>
      <c r="AD12" s="15"/>
      <c r="AE12" s="15"/>
      <c r="AF12" s="15"/>
      <c r="AG12" s="15"/>
      <c r="AH12" s="15"/>
      <c r="AI12" s="15"/>
      <c r="AJ12" s="15"/>
    </row>
    <row r="13" ht="39.0" customHeight="1">
      <c r="A13" s="9" t="s">
        <v>713</v>
      </c>
      <c r="B13" s="10" t="s">
        <v>79</v>
      </c>
      <c r="C13" s="11" t="s">
        <v>714</v>
      </c>
      <c r="D13" s="11" t="s">
        <v>715</v>
      </c>
      <c r="E13" s="10" t="s">
        <v>66</v>
      </c>
      <c r="F13" s="13" t="s">
        <v>222</v>
      </c>
      <c r="G13" s="13" t="s">
        <v>223</v>
      </c>
      <c r="H13" s="13" t="s">
        <v>224</v>
      </c>
      <c r="I13" s="13" t="s">
        <v>105</v>
      </c>
      <c r="J13" s="13" t="s">
        <v>148</v>
      </c>
      <c r="K13" s="13" t="s">
        <v>150</v>
      </c>
      <c r="L13" s="10" t="s">
        <v>705</v>
      </c>
      <c r="M13" s="13" t="s">
        <v>112</v>
      </c>
      <c r="N13" s="11" t="s">
        <v>716</v>
      </c>
      <c r="O13" s="15"/>
      <c r="P13" s="15"/>
      <c r="Q13" s="15"/>
      <c r="R13" s="15"/>
      <c r="S13" s="14"/>
      <c r="T13" s="14"/>
      <c r="U13" s="15"/>
      <c r="V13" s="15"/>
      <c r="W13" s="15"/>
      <c r="X13" s="15"/>
      <c r="Y13" s="15"/>
      <c r="Z13" s="15"/>
      <c r="AA13" s="15"/>
      <c r="AB13" s="15"/>
      <c r="AC13" s="15"/>
      <c r="AD13" s="15"/>
      <c r="AE13" s="15"/>
      <c r="AF13" s="15"/>
      <c r="AG13" s="15"/>
      <c r="AH13" s="15"/>
      <c r="AI13" s="15"/>
      <c r="AJ13" s="15"/>
    </row>
    <row r="14" ht="39.0" customHeight="1">
      <c r="A14" s="9" t="s">
        <v>717</v>
      </c>
      <c r="B14" s="10" t="s">
        <v>79</v>
      </c>
      <c r="C14" s="11" t="s">
        <v>718</v>
      </c>
      <c r="D14" s="11" t="s">
        <v>719</v>
      </c>
      <c r="E14" s="10" t="s">
        <v>66</v>
      </c>
      <c r="F14" s="13" t="s">
        <v>51</v>
      </c>
      <c r="G14" s="13" t="s">
        <v>239</v>
      </c>
      <c r="H14" s="13" t="s">
        <v>224</v>
      </c>
      <c r="I14" s="13" t="s">
        <v>260</v>
      </c>
      <c r="J14" s="13" t="s">
        <v>148</v>
      </c>
      <c r="K14" s="13" t="s">
        <v>150</v>
      </c>
      <c r="L14" s="10" t="s">
        <v>713</v>
      </c>
      <c r="M14" s="13" t="s">
        <v>112</v>
      </c>
      <c r="N14" s="11" t="s">
        <v>721</v>
      </c>
      <c r="O14" s="15"/>
      <c r="P14" s="15"/>
      <c r="Q14" s="15"/>
      <c r="R14" s="15"/>
      <c r="S14" s="15"/>
      <c r="T14" s="14"/>
      <c r="U14" s="15"/>
      <c r="V14" s="15"/>
      <c r="W14" s="15"/>
      <c r="X14" s="15"/>
      <c r="Y14" s="15"/>
      <c r="Z14" s="15"/>
      <c r="AA14" s="15"/>
      <c r="AB14" s="15"/>
      <c r="AC14" s="15"/>
      <c r="AD14" s="15"/>
      <c r="AE14" s="15"/>
      <c r="AF14" s="15"/>
      <c r="AG14" s="15"/>
      <c r="AH14" s="15"/>
      <c r="AI14" s="15"/>
      <c r="AJ14" s="15"/>
    </row>
    <row r="15" ht="27.75" customHeight="1">
      <c r="A15" s="9" t="s">
        <v>724</v>
      </c>
      <c r="B15" s="10" t="s">
        <v>79</v>
      </c>
      <c r="C15" s="11" t="s">
        <v>725</v>
      </c>
      <c r="D15" s="11" t="s">
        <v>727</v>
      </c>
      <c r="E15" s="10" t="s">
        <v>66</v>
      </c>
      <c r="F15" s="13" t="s">
        <v>238</v>
      </c>
      <c r="G15" s="13" t="s">
        <v>239</v>
      </c>
      <c r="H15" s="13" t="s">
        <v>240</v>
      </c>
      <c r="I15" s="13" t="s">
        <v>105</v>
      </c>
      <c r="J15" s="13" t="s">
        <v>148</v>
      </c>
      <c r="K15" s="13" t="s">
        <v>150</v>
      </c>
      <c r="L15" s="10" t="s">
        <v>440</v>
      </c>
      <c r="M15" s="13" t="s">
        <v>165</v>
      </c>
      <c r="N15" s="11"/>
      <c r="O15" s="15"/>
      <c r="P15" s="15"/>
      <c r="Q15" s="15"/>
      <c r="R15" s="15"/>
      <c r="S15" s="15"/>
      <c r="T15" s="14"/>
      <c r="U15" s="14"/>
      <c r="V15" s="15"/>
      <c r="W15" s="15"/>
      <c r="X15" s="15"/>
      <c r="Y15" s="15"/>
      <c r="Z15" s="15"/>
      <c r="AA15" s="15"/>
      <c r="AB15" s="15"/>
      <c r="AC15" s="15"/>
      <c r="AD15" s="15"/>
      <c r="AE15" s="15"/>
      <c r="AF15" s="15"/>
      <c r="AG15" s="15"/>
      <c r="AH15" s="15"/>
      <c r="AI15" s="15"/>
      <c r="AJ15" s="15"/>
    </row>
    <row r="16" ht="27.75" customHeight="1">
      <c r="A16" s="9" t="s">
        <v>732</v>
      </c>
      <c r="B16" s="10" t="s">
        <v>79</v>
      </c>
      <c r="C16" s="11" t="s">
        <v>733</v>
      </c>
      <c r="D16" s="11" t="s">
        <v>734</v>
      </c>
      <c r="E16" s="10" t="s">
        <v>66</v>
      </c>
      <c r="F16" s="13" t="s">
        <v>54</v>
      </c>
      <c r="G16" s="13" t="s">
        <v>252</v>
      </c>
      <c r="H16" s="13" t="s">
        <v>240</v>
      </c>
      <c r="I16" s="13" t="s">
        <v>260</v>
      </c>
      <c r="J16" s="13" t="s">
        <v>148</v>
      </c>
      <c r="K16" s="13" t="s">
        <v>150</v>
      </c>
      <c r="L16" s="10" t="s">
        <v>724</v>
      </c>
      <c r="M16" s="13" t="s">
        <v>165</v>
      </c>
      <c r="N16" s="11" t="s">
        <v>735</v>
      </c>
      <c r="O16" s="15"/>
      <c r="P16" s="15"/>
      <c r="Q16" s="15"/>
      <c r="R16" s="15"/>
      <c r="S16" s="15"/>
      <c r="T16" s="15"/>
      <c r="U16" s="14"/>
      <c r="V16" s="15"/>
      <c r="W16" s="15"/>
      <c r="X16" s="15"/>
      <c r="Y16" s="15"/>
      <c r="Z16" s="15"/>
      <c r="AA16" s="15"/>
      <c r="AB16" s="15"/>
      <c r="AC16" s="15"/>
      <c r="AD16" s="15"/>
      <c r="AE16" s="15"/>
      <c r="AF16" s="15"/>
      <c r="AG16" s="15"/>
      <c r="AH16" s="15"/>
      <c r="AI16" s="15"/>
      <c r="AJ16" s="15"/>
    </row>
    <row r="17" ht="51.75" customHeight="1">
      <c r="A17" s="9" t="s">
        <v>737</v>
      </c>
      <c r="B17" s="10" t="s">
        <v>79</v>
      </c>
      <c r="C17" s="11" t="s">
        <v>738</v>
      </c>
      <c r="D17" s="11" t="s">
        <v>739</v>
      </c>
      <c r="E17" s="10" t="s">
        <v>66</v>
      </c>
      <c r="F17" s="13" t="s">
        <v>305</v>
      </c>
      <c r="G17" s="13" t="s">
        <v>294</v>
      </c>
      <c r="H17" s="13" t="s">
        <v>306</v>
      </c>
      <c r="I17" s="13" t="s">
        <v>105</v>
      </c>
      <c r="J17" s="13" t="s">
        <v>148</v>
      </c>
      <c r="K17" s="13" t="s">
        <v>150</v>
      </c>
      <c r="L17" s="10" t="s">
        <v>527</v>
      </c>
      <c r="M17" s="13" t="s">
        <v>112</v>
      </c>
      <c r="N17" s="11" t="s">
        <v>742</v>
      </c>
      <c r="O17" s="15"/>
      <c r="P17" s="15"/>
      <c r="Q17" s="15"/>
      <c r="R17" s="15"/>
      <c r="S17" s="15"/>
      <c r="T17" s="15"/>
      <c r="U17" s="15"/>
      <c r="V17" s="15"/>
      <c r="W17" s="14"/>
      <c r="X17" s="14"/>
      <c r="Y17" s="15"/>
      <c r="Z17" s="15"/>
      <c r="AA17" s="15"/>
      <c r="AB17" s="15"/>
      <c r="AC17" s="15"/>
      <c r="AD17" s="15"/>
      <c r="AE17" s="15"/>
      <c r="AF17" s="15"/>
      <c r="AG17" s="15"/>
      <c r="AH17" s="15"/>
      <c r="AI17" s="15"/>
      <c r="AJ17" s="15"/>
    </row>
    <row r="18" ht="64.5" customHeight="1">
      <c r="A18" s="9" t="s">
        <v>744</v>
      </c>
      <c r="B18" s="10" t="s">
        <v>79</v>
      </c>
      <c r="C18" s="11" t="s">
        <v>746</v>
      </c>
      <c r="D18" s="11" t="s">
        <v>747</v>
      </c>
      <c r="E18" s="10" t="s">
        <v>66</v>
      </c>
      <c r="F18" s="13" t="s">
        <v>251</v>
      </c>
      <c r="G18" s="13" t="s">
        <v>252</v>
      </c>
      <c r="H18" s="13" t="s">
        <v>254</v>
      </c>
      <c r="I18" s="13" t="s">
        <v>105</v>
      </c>
      <c r="J18" s="13" t="s">
        <v>148</v>
      </c>
      <c r="K18" s="13" t="s">
        <v>150</v>
      </c>
      <c r="L18" s="10" t="s">
        <v>705</v>
      </c>
      <c r="M18" s="13" t="s">
        <v>112</v>
      </c>
      <c r="N18" s="11" t="s">
        <v>752</v>
      </c>
      <c r="O18" s="15"/>
      <c r="P18" s="15"/>
      <c r="Q18" s="15"/>
      <c r="R18" s="15"/>
      <c r="S18" s="15"/>
      <c r="T18" s="15"/>
      <c r="U18" s="14"/>
      <c r="V18" s="14"/>
      <c r="W18" s="15"/>
      <c r="X18" s="15"/>
      <c r="Y18" s="15"/>
      <c r="Z18" s="15"/>
      <c r="AA18" s="15"/>
      <c r="AB18" s="15"/>
      <c r="AC18" s="15"/>
      <c r="AD18" s="15"/>
      <c r="AE18" s="15"/>
      <c r="AF18" s="15"/>
      <c r="AG18" s="15"/>
      <c r="AH18" s="15"/>
      <c r="AI18" s="15"/>
      <c r="AJ18" s="15"/>
    </row>
    <row r="19" ht="51.75" customHeight="1">
      <c r="A19" s="9" t="s">
        <v>756</v>
      </c>
      <c r="B19" s="10" t="s">
        <v>79</v>
      </c>
      <c r="C19" s="11" t="s">
        <v>758</v>
      </c>
      <c r="D19" s="11" t="s">
        <v>759</v>
      </c>
      <c r="E19" s="10" t="s">
        <v>66</v>
      </c>
      <c r="F19" s="13" t="s">
        <v>343</v>
      </c>
      <c r="G19" s="13" t="s">
        <v>344</v>
      </c>
      <c r="H19" s="13" t="s">
        <v>345</v>
      </c>
      <c r="I19" s="13" t="s">
        <v>105</v>
      </c>
      <c r="J19" s="13" t="s">
        <v>148</v>
      </c>
      <c r="K19" s="13" t="s">
        <v>150</v>
      </c>
      <c r="L19" s="10" t="s">
        <v>560</v>
      </c>
      <c r="M19" s="13" t="s">
        <v>112</v>
      </c>
      <c r="N19" s="11" t="s">
        <v>764</v>
      </c>
      <c r="O19" s="15"/>
      <c r="P19" s="15"/>
      <c r="Q19" s="15"/>
      <c r="R19" s="15"/>
      <c r="S19" s="15"/>
      <c r="T19" s="15"/>
      <c r="U19" s="15"/>
      <c r="V19" s="15"/>
      <c r="W19" s="15"/>
      <c r="X19" s="15"/>
      <c r="Y19" s="14"/>
      <c r="Z19" s="14"/>
      <c r="AA19" s="15"/>
      <c r="AB19" s="15"/>
      <c r="AC19" s="15"/>
      <c r="AD19" s="15"/>
      <c r="AE19" s="15"/>
      <c r="AF19" s="15"/>
      <c r="AG19" s="15"/>
      <c r="AH19" s="15"/>
      <c r="AI19" s="15"/>
      <c r="AJ19" s="15"/>
    </row>
    <row r="20" ht="27.75" customHeight="1">
      <c r="A20" s="9" t="s">
        <v>769</v>
      </c>
      <c r="B20" s="10" t="s">
        <v>79</v>
      </c>
      <c r="C20" s="11" t="s">
        <v>771</v>
      </c>
      <c r="D20" s="11" t="s">
        <v>772</v>
      </c>
      <c r="E20" s="10" t="s">
        <v>66</v>
      </c>
      <c r="F20" s="13" t="s">
        <v>65</v>
      </c>
      <c r="G20" s="13" t="s">
        <v>376</v>
      </c>
      <c r="H20" s="13" t="s">
        <v>361</v>
      </c>
      <c r="I20" s="13" t="s">
        <v>105</v>
      </c>
      <c r="J20" s="13" t="s">
        <v>148</v>
      </c>
      <c r="K20" s="13" t="s">
        <v>150</v>
      </c>
      <c r="L20" s="10" t="s">
        <v>545</v>
      </c>
      <c r="M20" s="13" t="s">
        <v>165</v>
      </c>
      <c r="N20" s="11"/>
      <c r="O20" s="15"/>
      <c r="P20" s="15"/>
      <c r="Q20" s="15"/>
      <c r="R20" s="15"/>
      <c r="S20" s="15"/>
      <c r="T20" s="15"/>
      <c r="U20" s="15"/>
      <c r="V20" s="15"/>
      <c r="W20" s="15"/>
      <c r="X20" s="15"/>
      <c r="Y20" s="15"/>
      <c r="Z20" s="15"/>
      <c r="AA20" s="14"/>
      <c r="AB20" s="15"/>
      <c r="AC20" s="15"/>
      <c r="AD20" s="15"/>
      <c r="AE20" s="15"/>
      <c r="AF20" s="15"/>
      <c r="AG20" s="15"/>
      <c r="AH20" s="15"/>
      <c r="AI20" s="15"/>
      <c r="AJ20" s="15"/>
    </row>
    <row r="21" ht="27.75" customHeight="1">
      <c r="A21" s="9" t="s">
        <v>778</v>
      </c>
      <c r="B21" s="10" t="s">
        <v>79</v>
      </c>
      <c r="C21" s="11" t="s">
        <v>779</v>
      </c>
      <c r="D21" s="11" t="s">
        <v>780</v>
      </c>
      <c r="E21" s="10" t="s">
        <v>66</v>
      </c>
      <c r="F21" s="13" t="s">
        <v>373</v>
      </c>
      <c r="G21" s="13" t="s">
        <v>376</v>
      </c>
      <c r="H21" s="13" t="s">
        <v>377</v>
      </c>
      <c r="I21" s="13" t="s">
        <v>105</v>
      </c>
      <c r="J21" s="13" t="s">
        <v>148</v>
      </c>
      <c r="K21" s="13" t="s">
        <v>150</v>
      </c>
      <c r="L21" s="10" t="s">
        <v>769</v>
      </c>
      <c r="M21" s="13" t="s">
        <v>165</v>
      </c>
      <c r="N21" s="11"/>
      <c r="O21" s="15"/>
      <c r="P21" s="15"/>
      <c r="Q21" s="15"/>
      <c r="R21" s="15"/>
      <c r="S21" s="15"/>
      <c r="T21" s="15"/>
      <c r="U21" s="15"/>
      <c r="V21" s="15"/>
      <c r="W21" s="15"/>
      <c r="X21" s="15"/>
      <c r="Y21" s="15"/>
      <c r="Z21" s="15"/>
      <c r="AA21" s="14"/>
      <c r="AB21" s="14"/>
      <c r="AC21" s="15"/>
      <c r="AD21" s="15"/>
      <c r="AE21" s="15"/>
      <c r="AF21" s="15"/>
      <c r="AG21" s="15"/>
      <c r="AH21" s="15"/>
      <c r="AI21" s="15"/>
      <c r="AJ21" s="15"/>
    </row>
    <row r="22" ht="27.75" customHeight="1">
      <c r="A22" s="9" t="s">
        <v>787</v>
      </c>
      <c r="B22" s="10" t="s">
        <v>75</v>
      </c>
      <c r="C22" s="11" t="s">
        <v>788</v>
      </c>
      <c r="D22" s="11" t="s">
        <v>789</v>
      </c>
      <c r="E22" s="10" t="s">
        <v>66</v>
      </c>
      <c r="F22" s="13" t="s">
        <v>616</v>
      </c>
      <c r="G22" s="13" t="s">
        <v>379</v>
      </c>
      <c r="H22" s="13" t="s">
        <v>617</v>
      </c>
      <c r="I22" s="13" t="s">
        <v>105</v>
      </c>
      <c r="J22" s="13" t="s">
        <v>148</v>
      </c>
      <c r="K22" s="13" t="s">
        <v>150</v>
      </c>
      <c r="L22" s="10" t="s">
        <v>467</v>
      </c>
      <c r="M22" s="13" t="s">
        <v>165</v>
      </c>
      <c r="N22" s="11"/>
      <c r="O22" s="15"/>
      <c r="P22" s="15"/>
      <c r="Q22" s="15"/>
      <c r="R22" s="15"/>
      <c r="S22" s="15"/>
      <c r="T22" s="15"/>
      <c r="U22" s="15"/>
      <c r="V22" s="15"/>
      <c r="W22" s="15"/>
      <c r="X22" s="15"/>
      <c r="Y22" s="15"/>
      <c r="Z22" s="15"/>
      <c r="AA22" s="15"/>
      <c r="AB22" s="14"/>
      <c r="AC22" s="14"/>
      <c r="AD22" s="15"/>
      <c r="AE22" s="15"/>
      <c r="AF22" s="15"/>
      <c r="AG22" s="15"/>
      <c r="AH22" s="15"/>
      <c r="AI22" s="15"/>
      <c r="AJ22" s="15"/>
    </row>
    <row r="23" ht="27.75" customHeight="1">
      <c r="A23" s="9" t="s">
        <v>795</v>
      </c>
      <c r="B23" s="10" t="s">
        <v>75</v>
      </c>
      <c r="C23" s="11" t="s">
        <v>797</v>
      </c>
      <c r="D23" s="11" t="s">
        <v>799</v>
      </c>
      <c r="E23" s="10" t="s">
        <v>66</v>
      </c>
      <c r="F23" s="13" t="s">
        <v>390</v>
      </c>
      <c r="G23" s="13" t="s">
        <v>391</v>
      </c>
      <c r="H23" s="13" t="s">
        <v>393</v>
      </c>
      <c r="I23" s="13" t="s">
        <v>105</v>
      </c>
      <c r="J23" s="13" t="s">
        <v>148</v>
      </c>
      <c r="K23" s="13" t="s">
        <v>150</v>
      </c>
      <c r="L23" s="10" t="s">
        <v>612</v>
      </c>
      <c r="M23" s="13" t="s">
        <v>165</v>
      </c>
      <c r="N23" s="11"/>
      <c r="O23" s="15"/>
      <c r="P23" s="15"/>
      <c r="Q23" s="15"/>
      <c r="R23" s="15"/>
      <c r="S23" s="15"/>
      <c r="T23" s="15"/>
      <c r="U23" s="15"/>
      <c r="V23" s="15"/>
      <c r="W23" s="15"/>
      <c r="X23" s="15"/>
      <c r="Y23" s="15"/>
      <c r="Z23" s="15"/>
      <c r="AA23" s="15"/>
      <c r="AB23" s="15"/>
      <c r="AC23" s="14"/>
      <c r="AD23" s="14"/>
      <c r="AE23" s="15"/>
      <c r="AF23" s="15"/>
      <c r="AG23" s="15"/>
      <c r="AH23" s="15"/>
      <c r="AI23" s="15"/>
      <c r="AJ23" s="15"/>
    </row>
    <row r="24" ht="27.75" customHeight="1">
      <c r="A24" s="9" t="s">
        <v>803</v>
      </c>
      <c r="B24" s="10" t="s">
        <v>75</v>
      </c>
      <c r="C24" s="11" t="s">
        <v>805</v>
      </c>
      <c r="D24" s="11" t="s">
        <v>806</v>
      </c>
      <c r="E24" s="10" t="s">
        <v>66</v>
      </c>
      <c r="F24" s="13" t="s">
        <v>71</v>
      </c>
      <c r="G24" s="13" t="s">
        <v>391</v>
      </c>
      <c r="H24" s="13" t="s">
        <v>617</v>
      </c>
      <c r="I24" s="13" t="s">
        <v>105</v>
      </c>
      <c r="J24" s="13" t="s">
        <v>148</v>
      </c>
      <c r="K24" s="13" t="s">
        <v>150</v>
      </c>
      <c r="L24" s="10" t="s">
        <v>603</v>
      </c>
      <c r="M24" s="13" t="s">
        <v>165</v>
      </c>
      <c r="N24" s="11"/>
      <c r="O24" s="15"/>
      <c r="P24" s="15"/>
      <c r="Q24" s="15"/>
      <c r="R24" s="15"/>
      <c r="S24" s="15"/>
      <c r="T24" s="15"/>
      <c r="U24" s="15"/>
      <c r="V24" s="15"/>
      <c r="W24" s="15"/>
      <c r="X24" s="15"/>
      <c r="Y24" s="15"/>
      <c r="Z24" s="15"/>
      <c r="AA24" s="15"/>
      <c r="AB24" s="15"/>
      <c r="AC24" s="14"/>
      <c r="AD24" s="15"/>
      <c r="AE24" s="15"/>
      <c r="AF24" s="15"/>
      <c r="AG24" s="15"/>
      <c r="AH24" s="15"/>
      <c r="AI24" s="15"/>
      <c r="AJ24" s="15"/>
    </row>
    <row r="25" ht="39.0" customHeight="1">
      <c r="A25" s="9" t="s">
        <v>810</v>
      </c>
      <c r="B25" s="10" t="s">
        <v>75</v>
      </c>
      <c r="C25" s="11" t="s">
        <v>812</v>
      </c>
      <c r="D25" s="11" t="s">
        <v>813</v>
      </c>
      <c r="E25" s="10" t="s">
        <v>66</v>
      </c>
      <c r="F25" s="13" t="s">
        <v>616</v>
      </c>
      <c r="G25" s="13" t="s">
        <v>379</v>
      </c>
      <c r="H25" s="13" t="s">
        <v>617</v>
      </c>
      <c r="I25" s="13" t="s">
        <v>105</v>
      </c>
      <c r="J25" s="13" t="s">
        <v>148</v>
      </c>
      <c r="K25" s="13" t="s">
        <v>150</v>
      </c>
      <c r="L25" s="10" t="s">
        <v>603</v>
      </c>
      <c r="M25" s="13" t="s">
        <v>112</v>
      </c>
      <c r="N25" s="11" t="s">
        <v>831</v>
      </c>
      <c r="O25" s="15"/>
      <c r="P25" s="15"/>
      <c r="Q25" s="15"/>
      <c r="R25" s="15"/>
      <c r="S25" s="15"/>
      <c r="T25" s="15"/>
      <c r="U25" s="15"/>
      <c r="V25" s="15"/>
      <c r="W25" s="15"/>
      <c r="X25" s="15"/>
      <c r="Y25" s="15"/>
      <c r="Z25" s="15"/>
      <c r="AA25" s="15"/>
      <c r="AB25" s="14"/>
      <c r="AC25" s="14"/>
      <c r="AD25" s="15"/>
      <c r="AE25" s="15"/>
      <c r="AF25" s="15"/>
      <c r="AG25" s="15"/>
      <c r="AH25" s="15"/>
      <c r="AI25" s="15"/>
      <c r="AJ25" s="15"/>
    </row>
    <row r="26" ht="27.75" customHeight="1">
      <c r="A26" s="9" t="s">
        <v>835</v>
      </c>
      <c r="B26" s="10" t="s">
        <v>75</v>
      </c>
      <c r="C26" s="11" t="s">
        <v>838</v>
      </c>
      <c r="D26" s="11" t="s">
        <v>840</v>
      </c>
      <c r="E26" s="10" t="s">
        <v>66</v>
      </c>
      <c r="F26" s="13" t="s">
        <v>72</v>
      </c>
      <c r="G26" s="13" t="s">
        <v>631</v>
      </c>
      <c r="H26" s="13" t="s">
        <v>393</v>
      </c>
      <c r="I26" s="13" t="s">
        <v>260</v>
      </c>
      <c r="J26" s="13" t="s">
        <v>148</v>
      </c>
      <c r="K26" s="13" t="s">
        <v>150</v>
      </c>
      <c r="L26" s="10" t="s">
        <v>621</v>
      </c>
      <c r="M26" s="13" t="s">
        <v>165</v>
      </c>
      <c r="N26" s="11"/>
      <c r="O26" s="15"/>
      <c r="P26" s="15"/>
      <c r="Q26" s="15"/>
      <c r="R26" s="15"/>
      <c r="S26" s="15"/>
      <c r="T26" s="15"/>
      <c r="U26" s="15"/>
      <c r="V26" s="15"/>
      <c r="W26" s="15"/>
      <c r="X26" s="15"/>
      <c r="Y26" s="15"/>
      <c r="Z26" s="15"/>
      <c r="AA26" s="15"/>
      <c r="AB26" s="15"/>
      <c r="AC26" s="15"/>
      <c r="AD26" s="14"/>
      <c r="AE26" s="15"/>
      <c r="AF26" s="15"/>
      <c r="AG26" s="15"/>
      <c r="AH26" s="15"/>
      <c r="AI26" s="15"/>
      <c r="AJ26" s="15"/>
    </row>
    <row r="27" ht="27.75" customHeight="1">
      <c r="A27" s="9" t="s">
        <v>846</v>
      </c>
      <c r="B27" s="10" t="s">
        <v>75</v>
      </c>
      <c r="C27" s="11" t="s">
        <v>847</v>
      </c>
      <c r="D27" s="11" t="s">
        <v>848</v>
      </c>
      <c r="E27" s="10" t="s">
        <v>66</v>
      </c>
      <c r="F27" s="13" t="s">
        <v>635</v>
      </c>
      <c r="G27" s="13" t="s">
        <v>631</v>
      </c>
      <c r="H27" s="13" t="s">
        <v>557</v>
      </c>
      <c r="I27" s="13" t="s">
        <v>260</v>
      </c>
      <c r="J27" s="13" t="s">
        <v>148</v>
      </c>
      <c r="K27" s="13" t="s">
        <v>150</v>
      </c>
      <c r="L27" s="10" t="s">
        <v>625</v>
      </c>
      <c r="M27" s="13" t="s">
        <v>165</v>
      </c>
      <c r="N27" s="11"/>
      <c r="O27" s="15"/>
      <c r="P27" s="15"/>
      <c r="Q27" s="15"/>
      <c r="R27" s="15"/>
      <c r="S27" s="15"/>
      <c r="T27" s="15"/>
      <c r="U27" s="15"/>
      <c r="V27" s="15"/>
      <c r="W27" s="15"/>
      <c r="X27" s="15"/>
      <c r="Y27" s="15"/>
      <c r="Z27" s="15"/>
      <c r="AA27" s="15"/>
      <c r="AB27" s="15"/>
      <c r="AC27" s="15"/>
      <c r="AD27" s="14"/>
      <c r="AE27" s="14"/>
      <c r="AF27" s="15"/>
      <c r="AG27" s="15"/>
      <c r="AH27" s="15"/>
      <c r="AI27" s="15"/>
      <c r="AJ27" s="15"/>
    </row>
    <row r="28" ht="27.75" customHeight="1">
      <c r="A28" s="9" t="s">
        <v>854</v>
      </c>
      <c r="B28" s="10" t="s">
        <v>855</v>
      </c>
      <c r="C28" s="11" t="s">
        <v>857</v>
      </c>
      <c r="D28" s="11" t="s">
        <v>858</v>
      </c>
      <c r="E28" s="10" t="s">
        <v>66</v>
      </c>
      <c r="F28" s="13" t="s">
        <v>73</v>
      </c>
      <c r="G28" s="13" t="s">
        <v>567</v>
      </c>
      <c r="H28" s="13" t="s">
        <v>557</v>
      </c>
      <c r="I28" s="13" t="s">
        <v>105</v>
      </c>
      <c r="J28" s="13" t="s">
        <v>148</v>
      </c>
      <c r="K28" s="13" t="s">
        <v>150</v>
      </c>
      <c r="L28" s="10" t="s">
        <v>632</v>
      </c>
      <c r="M28" s="13" t="s">
        <v>165</v>
      </c>
      <c r="N28" s="11"/>
      <c r="O28" s="15"/>
      <c r="P28" s="15"/>
      <c r="Q28" s="15"/>
      <c r="R28" s="15"/>
      <c r="S28" s="15"/>
      <c r="T28" s="15"/>
      <c r="U28" s="15"/>
      <c r="V28" s="15"/>
      <c r="W28" s="15"/>
      <c r="X28" s="15"/>
      <c r="Y28" s="15"/>
      <c r="Z28" s="15"/>
      <c r="AA28" s="15"/>
      <c r="AB28" s="15"/>
      <c r="AC28" s="15"/>
      <c r="AD28" s="15"/>
      <c r="AE28" s="14"/>
      <c r="AF28" s="15"/>
      <c r="AG28" s="15"/>
      <c r="AH28" s="15"/>
      <c r="AI28" s="15"/>
      <c r="AJ28" s="15"/>
    </row>
    <row r="29" ht="27.75" customHeight="1">
      <c r="A29" s="9" t="s">
        <v>863</v>
      </c>
      <c r="B29" s="10" t="s">
        <v>855</v>
      </c>
      <c r="C29" s="11" t="s">
        <v>864</v>
      </c>
      <c r="D29" s="11" t="s">
        <v>865</v>
      </c>
      <c r="E29" s="10" t="s">
        <v>66</v>
      </c>
      <c r="F29" s="13" t="s">
        <v>566</v>
      </c>
      <c r="G29" s="13" t="s">
        <v>567</v>
      </c>
      <c r="H29" s="13" t="s">
        <v>568</v>
      </c>
      <c r="I29" s="13" t="s">
        <v>105</v>
      </c>
      <c r="J29" s="13" t="s">
        <v>148</v>
      </c>
      <c r="K29" s="13" t="s">
        <v>150</v>
      </c>
      <c r="L29" s="10" t="s">
        <v>632</v>
      </c>
      <c r="M29" s="13" t="s">
        <v>165</v>
      </c>
      <c r="N29" s="11"/>
      <c r="O29" s="15"/>
      <c r="P29" s="15"/>
      <c r="Q29" s="15"/>
      <c r="R29" s="15"/>
      <c r="S29" s="15"/>
      <c r="T29" s="15"/>
      <c r="U29" s="15"/>
      <c r="V29" s="15"/>
      <c r="W29" s="15"/>
      <c r="X29" s="15"/>
      <c r="Y29" s="15"/>
      <c r="Z29" s="15"/>
      <c r="AA29" s="15"/>
      <c r="AB29" s="15"/>
      <c r="AC29" s="15"/>
      <c r="AD29" s="15"/>
      <c r="AE29" s="14"/>
      <c r="AF29" s="14"/>
      <c r="AG29" s="15"/>
      <c r="AH29" s="15"/>
      <c r="AI29" s="15"/>
      <c r="AJ29" s="15"/>
    </row>
    <row r="30" ht="27.75" customHeight="1">
      <c r="A30" s="9" t="s">
        <v>870</v>
      </c>
      <c r="B30" s="10" t="s">
        <v>855</v>
      </c>
      <c r="C30" s="11" t="s">
        <v>872</v>
      </c>
      <c r="D30" s="11" t="s">
        <v>874</v>
      </c>
      <c r="E30" s="10" t="s">
        <v>66</v>
      </c>
      <c r="F30" s="13" t="s">
        <v>74</v>
      </c>
      <c r="G30" s="13" t="s">
        <v>576</v>
      </c>
      <c r="H30" s="13" t="s">
        <v>568</v>
      </c>
      <c r="I30" s="13" t="s">
        <v>105</v>
      </c>
      <c r="J30" s="13" t="s">
        <v>148</v>
      </c>
      <c r="K30" s="13" t="s">
        <v>150</v>
      </c>
      <c r="L30" s="10" t="s">
        <v>863</v>
      </c>
      <c r="M30" s="13" t="s">
        <v>165</v>
      </c>
      <c r="N30" s="11"/>
      <c r="O30" s="15"/>
      <c r="P30" s="15"/>
      <c r="Q30" s="15"/>
      <c r="R30" s="15"/>
      <c r="S30" s="15"/>
      <c r="T30" s="15"/>
      <c r="U30" s="15"/>
      <c r="V30" s="15"/>
      <c r="W30" s="15"/>
      <c r="X30" s="15"/>
      <c r="Y30" s="15"/>
      <c r="Z30" s="15"/>
      <c r="AA30" s="15"/>
      <c r="AB30" s="15"/>
      <c r="AC30" s="15"/>
      <c r="AD30" s="15"/>
      <c r="AE30" s="15"/>
      <c r="AF30" s="14"/>
      <c r="AG30" s="15"/>
      <c r="AH30" s="15"/>
      <c r="AI30" s="15"/>
      <c r="AJ30" s="15"/>
    </row>
    <row r="31" ht="27.75" customHeight="1">
      <c r="A31" s="9" t="s">
        <v>880</v>
      </c>
      <c r="B31" s="10" t="s">
        <v>855</v>
      </c>
      <c r="C31" s="11" t="s">
        <v>881</v>
      </c>
      <c r="D31" s="11" t="s">
        <v>882</v>
      </c>
      <c r="E31" s="10" t="s">
        <v>66</v>
      </c>
      <c r="F31" s="13" t="s">
        <v>74</v>
      </c>
      <c r="G31" s="13" t="s">
        <v>576</v>
      </c>
      <c r="H31" s="13" t="s">
        <v>568</v>
      </c>
      <c r="I31" s="13" t="s">
        <v>260</v>
      </c>
      <c r="J31" s="13" t="s">
        <v>148</v>
      </c>
      <c r="K31" s="13" t="s">
        <v>150</v>
      </c>
      <c r="L31" s="10" t="s">
        <v>606</v>
      </c>
      <c r="M31" s="13" t="s">
        <v>165</v>
      </c>
      <c r="N31" s="11"/>
      <c r="O31" s="15"/>
      <c r="P31" s="15"/>
      <c r="Q31" s="15"/>
      <c r="R31" s="15"/>
      <c r="S31" s="15"/>
      <c r="T31" s="15"/>
      <c r="U31" s="15"/>
      <c r="V31" s="15"/>
      <c r="W31" s="15"/>
      <c r="X31" s="15"/>
      <c r="Y31" s="15"/>
      <c r="Z31" s="15"/>
      <c r="AA31" s="15"/>
      <c r="AB31" s="15"/>
      <c r="AC31" s="15"/>
      <c r="AD31" s="15"/>
      <c r="AE31" s="15"/>
      <c r="AF31" s="14"/>
      <c r="AG31" s="15"/>
      <c r="AH31" s="15"/>
      <c r="AI31" s="15"/>
      <c r="AJ31" s="15"/>
    </row>
    <row r="32" ht="27.75" customHeight="1">
      <c r="A32" s="9" t="s">
        <v>887</v>
      </c>
      <c r="B32" s="10" t="s">
        <v>855</v>
      </c>
      <c r="C32" s="11" t="s">
        <v>888</v>
      </c>
      <c r="D32" s="11" t="s">
        <v>890</v>
      </c>
      <c r="E32" s="10" t="s">
        <v>66</v>
      </c>
      <c r="F32" s="13" t="s">
        <v>586</v>
      </c>
      <c r="G32" s="13" t="s">
        <v>576</v>
      </c>
      <c r="H32" s="13" t="s">
        <v>363</v>
      </c>
      <c r="I32" s="13" t="s">
        <v>260</v>
      </c>
      <c r="J32" s="13" t="s">
        <v>148</v>
      </c>
      <c r="K32" s="13" t="s">
        <v>150</v>
      </c>
      <c r="L32" s="10" t="s">
        <v>640</v>
      </c>
      <c r="M32" s="13" t="s">
        <v>165</v>
      </c>
      <c r="N32" s="11"/>
      <c r="O32" s="15"/>
      <c r="P32" s="15"/>
      <c r="Q32" s="15"/>
      <c r="R32" s="15"/>
      <c r="S32" s="15"/>
      <c r="T32" s="15"/>
      <c r="U32" s="15"/>
      <c r="V32" s="15"/>
      <c r="W32" s="15"/>
      <c r="X32" s="15"/>
      <c r="Y32" s="15"/>
      <c r="Z32" s="15"/>
      <c r="AA32" s="15"/>
      <c r="AB32" s="15"/>
      <c r="AC32" s="15"/>
      <c r="AD32" s="15"/>
      <c r="AE32" s="15"/>
      <c r="AF32" s="14"/>
      <c r="AG32" s="14"/>
      <c r="AH32" s="15"/>
      <c r="AI32" s="15"/>
      <c r="AJ32" s="15"/>
    </row>
    <row r="33" ht="27.75" customHeight="1">
      <c r="A33" s="9" t="s">
        <v>896</v>
      </c>
      <c r="B33" s="10" t="s">
        <v>897</v>
      </c>
      <c r="C33" s="11" t="s">
        <v>898</v>
      </c>
      <c r="D33" s="11" t="s">
        <v>899</v>
      </c>
      <c r="E33" s="10" t="s">
        <v>66</v>
      </c>
      <c r="F33" s="13" t="s">
        <v>358</v>
      </c>
      <c r="G33" s="13" t="s">
        <v>360</v>
      </c>
      <c r="H33" s="13" t="s">
        <v>361</v>
      </c>
      <c r="I33" s="13" t="s">
        <v>260</v>
      </c>
      <c r="J33" s="13" t="s">
        <v>148</v>
      </c>
      <c r="K33" s="13" t="s">
        <v>150</v>
      </c>
      <c r="L33" s="10" t="s">
        <v>501</v>
      </c>
      <c r="M33" s="13" t="s">
        <v>165</v>
      </c>
      <c r="N33" s="11"/>
      <c r="O33" s="15"/>
      <c r="P33" s="15"/>
      <c r="Q33" s="15"/>
      <c r="R33" s="15"/>
      <c r="S33" s="15"/>
      <c r="T33" s="15"/>
      <c r="U33" s="15"/>
      <c r="V33" s="15"/>
      <c r="W33" s="15"/>
      <c r="X33" s="15"/>
      <c r="Y33" s="15"/>
      <c r="Z33" s="14"/>
      <c r="AA33" s="14"/>
      <c r="AB33" s="15"/>
      <c r="AC33" s="15"/>
      <c r="AD33" s="15"/>
      <c r="AE33" s="15"/>
      <c r="AF33" s="15"/>
      <c r="AG33" s="15"/>
      <c r="AH33" s="15"/>
      <c r="AI33" s="15"/>
      <c r="AJ33" s="15"/>
    </row>
    <row r="34" ht="27.75" customHeight="1">
      <c r="A34" s="9" t="s">
        <v>905</v>
      </c>
      <c r="B34" s="10" t="s">
        <v>906</v>
      </c>
      <c r="C34" s="11" t="s">
        <v>908</v>
      </c>
      <c r="D34" s="11" t="s">
        <v>909</v>
      </c>
      <c r="E34" s="10" t="s">
        <v>66</v>
      </c>
      <c r="F34" s="13" t="s">
        <v>373</v>
      </c>
      <c r="G34" s="13" t="s">
        <v>376</v>
      </c>
      <c r="H34" s="13" t="s">
        <v>377</v>
      </c>
      <c r="I34" s="13" t="s">
        <v>105</v>
      </c>
      <c r="J34" s="13" t="s">
        <v>148</v>
      </c>
      <c r="K34" s="13" t="s">
        <v>150</v>
      </c>
      <c r="L34" s="10" t="s">
        <v>769</v>
      </c>
      <c r="M34" s="13" t="s">
        <v>165</v>
      </c>
      <c r="N34" s="11"/>
      <c r="O34" s="15"/>
      <c r="P34" s="15"/>
      <c r="Q34" s="15"/>
      <c r="R34" s="15"/>
      <c r="S34" s="15"/>
      <c r="T34" s="15"/>
      <c r="U34" s="15"/>
      <c r="V34" s="15"/>
      <c r="W34" s="15"/>
      <c r="X34" s="15"/>
      <c r="Y34" s="15"/>
      <c r="Z34" s="15"/>
      <c r="AA34" s="14"/>
      <c r="AB34" s="14"/>
      <c r="AC34" s="15"/>
      <c r="AD34" s="15"/>
      <c r="AE34" s="15"/>
      <c r="AF34" s="15"/>
      <c r="AG34" s="15"/>
      <c r="AH34" s="15"/>
      <c r="AI34" s="15"/>
      <c r="AJ34" s="15"/>
    </row>
    <row r="35" ht="27.75" customHeight="1">
      <c r="A35" s="9" t="s">
        <v>912</v>
      </c>
      <c r="B35" s="10" t="s">
        <v>906</v>
      </c>
      <c r="C35" s="11" t="s">
        <v>914</v>
      </c>
      <c r="D35" s="11" t="s">
        <v>915</v>
      </c>
      <c r="E35" s="10" t="s">
        <v>66</v>
      </c>
      <c r="F35" s="13" t="s">
        <v>416</v>
      </c>
      <c r="G35" s="13" t="s">
        <v>418</v>
      </c>
      <c r="H35" s="13" t="s">
        <v>400</v>
      </c>
      <c r="I35" s="13" t="s">
        <v>105</v>
      </c>
      <c r="J35" s="13" t="s">
        <v>148</v>
      </c>
      <c r="K35" s="13" t="s">
        <v>150</v>
      </c>
      <c r="L35" s="10"/>
      <c r="M35" s="13" t="s">
        <v>165</v>
      </c>
      <c r="N35" s="11"/>
      <c r="O35" s="15"/>
      <c r="P35" s="15"/>
      <c r="Q35" s="15"/>
      <c r="R35" s="15"/>
      <c r="S35" s="15"/>
      <c r="T35" s="15"/>
      <c r="U35" s="15"/>
      <c r="V35" s="15"/>
      <c r="W35" s="15"/>
      <c r="X35" s="15"/>
      <c r="Y35" s="15"/>
      <c r="Z35" s="15"/>
      <c r="AA35" s="15"/>
      <c r="AB35" s="15"/>
      <c r="AC35" s="15"/>
      <c r="AD35" s="15"/>
      <c r="AE35" s="15"/>
      <c r="AF35" s="15"/>
      <c r="AG35" s="14"/>
      <c r="AH35" s="14"/>
      <c r="AI35" s="15"/>
      <c r="AJ35" s="15"/>
    </row>
    <row r="36" ht="27.75" customHeight="1">
      <c r="A36" s="9" t="s">
        <v>921</v>
      </c>
      <c r="B36" s="10" t="s">
        <v>906</v>
      </c>
      <c r="C36" s="11" t="s">
        <v>922</v>
      </c>
      <c r="D36" s="11" t="s">
        <v>923</v>
      </c>
      <c r="E36" s="10" t="s">
        <v>66</v>
      </c>
      <c r="F36" s="13" t="s">
        <v>78</v>
      </c>
      <c r="G36" s="13" t="s">
        <v>420</v>
      </c>
      <c r="H36" s="13" t="s">
        <v>400</v>
      </c>
      <c r="I36" s="13" t="s">
        <v>105</v>
      </c>
      <c r="J36" s="13" t="s">
        <v>148</v>
      </c>
      <c r="K36" s="13" t="s">
        <v>150</v>
      </c>
      <c r="L36" s="10" t="s">
        <v>912</v>
      </c>
      <c r="M36" s="13" t="s">
        <v>165</v>
      </c>
      <c r="N36" s="11"/>
      <c r="O36" s="15"/>
      <c r="P36" s="15"/>
      <c r="Q36" s="15"/>
      <c r="R36" s="15"/>
      <c r="S36" s="15"/>
      <c r="T36" s="15"/>
      <c r="U36" s="15"/>
      <c r="V36" s="15"/>
      <c r="W36" s="15"/>
      <c r="X36" s="15"/>
      <c r="Y36" s="15"/>
      <c r="Z36" s="15"/>
      <c r="AA36" s="15"/>
      <c r="AB36" s="15"/>
      <c r="AC36" s="15"/>
      <c r="AD36" s="15"/>
      <c r="AE36" s="15"/>
      <c r="AF36" s="15"/>
      <c r="AG36" s="15"/>
      <c r="AH36" s="14"/>
      <c r="AI36" s="15"/>
      <c r="AJ36" s="15"/>
    </row>
    <row r="37" ht="27.75" customHeight="1">
      <c r="A37" s="9" t="s">
        <v>441</v>
      </c>
      <c r="B37" s="10" t="s">
        <v>906</v>
      </c>
      <c r="C37" s="11" t="s">
        <v>929</v>
      </c>
      <c r="D37" s="11" t="s">
        <v>931</v>
      </c>
      <c r="E37" s="10" t="s">
        <v>66</v>
      </c>
      <c r="F37" s="13" t="s">
        <v>451</v>
      </c>
      <c r="G37" s="13" t="s">
        <v>452</v>
      </c>
      <c r="H37" s="13" t="s">
        <v>453</v>
      </c>
      <c r="I37" s="13" t="s">
        <v>105</v>
      </c>
      <c r="J37" s="13" t="s">
        <v>148</v>
      </c>
      <c r="K37" s="13" t="s">
        <v>150</v>
      </c>
      <c r="L37" s="10" t="s">
        <v>921</v>
      </c>
      <c r="M37" s="13" t="s">
        <v>165</v>
      </c>
      <c r="N37" s="11"/>
      <c r="O37" s="15"/>
      <c r="P37" s="15"/>
      <c r="Q37" s="15"/>
      <c r="R37" s="15"/>
      <c r="S37" s="15"/>
      <c r="T37" s="15"/>
      <c r="U37" s="15"/>
      <c r="V37" s="15"/>
      <c r="W37" s="15"/>
      <c r="X37" s="15"/>
      <c r="Y37" s="15"/>
      <c r="Z37" s="15"/>
      <c r="AA37" s="15"/>
      <c r="AB37" s="15"/>
      <c r="AC37" s="15"/>
      <c r="AD37" s="15"/>
      <c r="AE37" s="15"/>
      <c r="AF37" s="15"/>
      <c r="AG37" s="15"/>
      <c r="AH37" s="15"/>
      <c r="AI37" s="14"/>
      <c r="AJ37" s="1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J$37"/>
  <mergeCells count="1">
    <mergeCell ref="A1:AJ1"/>
  </mergeCells>
  <conditionalFormatting sqref="J3:J37">
    <cfRule type="cellIs" dxfId="0" priority="1" operator="equal">
      <formula>"Hoàn thành"</formula>
    </cfRule>
  </conditionalFormatting>
  <conditionalFormatting sqref="J3:J37">
    <cfRule type="cellIs" dxfId="1" priority="2" operator="equal">
      <formula>"Đang làm"</formula>
    </cfRule>
  </conditionalFormatting>
  <conditionalFormatting sqref="J3:J37">
    <cfRule type="cellIs" dxfId="2" priority="3" operator="equal">
      <formula>"Đang review"</formula>
    </cfRule>
  </conditionalFormatting>
  <conditionalFormatting sqref="J3:J37">
    <cfRule type="cellIs" dxfId="3" priority="4" operator="equal">
      <formula>"Bị chặn"</formula>
    </cfRule>
  </conditionalFormatting>
  <conditionalFormatting sqref="J3:J37">
    <cfRule type="cellIs" dxfId="4" priority="5" operator="equal">
      <formula>"Chưa bắt đầu"</formula>
    </cfRule>
  </conditionalFormatting>
  <dataValidations>
    <dataValidation type="list" allowBlank="1" sqref="E3:E37">
      <formula1>"BE1 – Mỹ,BE2 – Đạt,FE1 – Thịnh,FE2 – Ngọc,FE3 – Khang,Cả nhóm,Chưa gán"</formula1>
    </dataValidation>
    <dataValidation type="list" allowBlank="1" sqref="J3:J37">
      <formula1>"Chưa bắt đầu,Đang làm,Đang review,Hoàn thành,Bị chặn"</formula1>
    </dataValidation>
    <dataValidation type="list" allowBlank="1" sqref="I3:I37">
      <formula1>"Cao,Trung bình,Thấp"</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0"/>
    <col customWidth="1" min="2" max="2" width="18.0"/>
    <col customWidth="1" min="3" max="3" width="50.43"/>
    <col customWidth="1" min="4" max="4" width="131.0"/>
    <col customWidth="1" min="5" max="5" width="15.0"/>
    <col customWidth="1" min="6" max="6" width="11.0"/>
    <col customWidth="1" min="7" max="8" width="12.0"/>
    <col customWidth="1" min="9" max="9" width="11.0"/>
    <col customWidth="1" min="10" max="10" width="14.0"/>
    <col customWidth="1" min="11" max="12" width="12.0"/>
    <col customWidth="1" min="13" max="13" width="11.0"/>
    <col customWidth="1" min="14" max="14" width="61.86"/>
    <col customWidth="1" min="15" max="36" width="4.14"/>
  </cols>
  <sheetData>
    <row r="1" ht="21.75" customHeight="1">
      <c r="A1" s="26" t="s">
        <v>702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2"/>
    </row>
    <row r="2" ht="30.0" customHeight="1">
      <c r="A2" s="27" t="s">
        <v>16</v>
      </c>
      <c r="B2" s="27" t="s">
        <v>22</v>
      </c>
      <c r="C2" s="27" t="s">
        <v>23</v>
      </c>
      <c r="D2" s="27" t="s">
        <v>25</v>
      </c>
      <c r="E2" s="27" t="s">
        <v>27</v>
      </c>
      <c r="F2" s="27" t="s">
        <v>29</v>
      </c>
      <c r="G2" s="27" t="s">
        <v>31</v>
      </c>
      <c r="H2" s="27" t="s">
        <v>32</v>
      </c>
      <c r="I2" s="27" t="s">
        <v>35</v>
      </c>
      <c r="J2" s="27" t="s">
        <v>37</v>
      </c>
      <c r="K2" s="27" t="s">
        <v>39</v>
      </c>
      <c r="L2" s="27" t="s">
        <v>40</v>
      </c>
      <c r="M2" s="27" t="s">
        <v>42</v>
      </c>
      <c r="N2" s="27" t="s">
        <v>43</v>
      </c>
      <c r="O2" s="27" t="s">
        <v>44</v>
      </c>
      <c r="P2" s="27" t="s">
        <v>45</v>
      </c>
      <c r="Q2" s="27" t="s">
        <v>46</v>
      </c>
      <c r="R2" s="27" t="s">
        <v>48</v>
      </c>
      <c r="S2" s="27" t="s">
        <v>50</v>
      </c>
      <c r="T2" s="27" t="s">
        <v>51</v>
      </c>
      <c r="U2" s="27" t="s">
        <v>54</v>
      </c>
      <c r="V2" s="27" t="s">
        <v>56</v>
      </c>
      <c r="W2" s="27" t="s">
        <v>58</v>
      </c>
      <c r="X2" s="27" t="s">
        <v>59</v>
      </c>
      <c r="Y2" s="27" t="s">
        <v>62</v>
      </c>
      <c r="Z2" s="27" t="s">
        <v>63</v>
      </c>
      <c r="AA2" s="27" t="s">
        <v>65</v>
      </c>
      <c r="AB2" s="27" t="s">
        <v>69</v>
      </c>
      <c r="AC2" s="27" t="s">
        <v>71</v>
      </c>
      <c r="AD2" s="27" t="s">
        <v>72</v>
      </c>
      <c r="AE2" s="27" t="s">
        <v>73</v>
      </c>
      <c r="AF2" s="27" t="s">
        <v>74</v>
      </c>
      <c r="AG2" s="27" t="s">
        <v>76</v>
      </c>
      <c r="AH2" s="27" t="s">
        <v>78</v>
      </c>
      <c r="AI2" s="27" t="s">
        <v>80</v>
      </c>
      <c r="AJ2" s="27" t="s">
        <v>82</v>
      </c>
    </row>
    <row r="3" ht="39.0" customHeight="1">
      <c r="A3" s="28" t="s">
        <v>722</v>
      </c>
      <c r="B3" s="30" t="s">
        <v>153</v>
      </c>
      <c r="C3" s="31" t="s">
        <v>728</v>
      </c>
      <c r="D3" s="31" t="s">
        <v>729</v>
      </c>
      <c r="E3" s="32" t="s">
        <v>140</v>
      </c>
      <c r="F3" s="34" t="s">
        <v>45</v>
      </c>
      <c r="G3" s="34" t="s">
        <v>147</v>
      </c>
      <c r="H3" s="34" t="s">
        <v>143</v>
      </c>
      <c r="I3" s="34" t="s">
        <v>105</v>
      </c>
      <c r="J3" s="35" t="s">
        <v>108</v>
      </c>
      <c r="K3" s="36">
        <v>1.0</v>
      </c>
      <c r="L3" s="30"/>
      <c r="M3" s="34" t="s">
        <v>112</v>
      </c>
      <c r="N3" s="31" t="s">
        <v>736</v>
      </c>
      <c r="O3" s="37"/>
      <c r="P3" s="38"/>
      <c r="Q3" s="37"/>
      <c r="R3" s="37"/>
      <c r="S3" s="37"/>
      <c r="T3" s="37"/>
      <c r="U3" s="37"/>
      <c r="V3" s="37"/>
      <c r="W3" s="37"/>
      <c r="X3" s="37"/>
      <c r="Y3" s="37"/>
      <c r="Z3" s="37"/>
      <c r="AA3" s="37"/>
      <c r="AB3" s="37"/>
      <c r="AC3" s="37"/>
      <c r="AD3" s="37"/>
      <c r="AE3" s="37"/>
      <c r="AF3" s="37"/>
      <c r="AG3" s="37"/>
      <c r="AH3" s="37"/>
      <c r="AI3" s="37"/>
      <c r="AJ3" s="37"/>
    </row>
    <row r="4" ht="39.0" customHeight="1">
      <c r="A4" s="28" t="s">
        <v>740</v>
      </c>
      <c r="B4" s="30" t="s">
        <v>153</v>
      </c>
      <c r="C4" s="31" t="s">
        <v>741</v>
      </c>
      <c r="D4" s="31" t="s">
        <v>743</v>
      </c>
      <c r="E4" s="32" t="s">
        <v>140</v>
      </c>
      <c r="F4" s="34" t="s">
        <v>144</v>
      </c>
      <c r="G4" s="34" t="s">
        <v>147</v>
      </c>
      <c r="H4" s="34" t="s">
        <v>151</v>
      </c>
      <c r="I4" s="34" t="s">
        <v>105</v>
      </c>
      <c r="J4" s="35" t="s">
        <v>108</v>
      </c>
      <c r="K4" s="36">
        <v>1.0</v>
      </c>
      <c r="L4" s="30" t="s">
        <v>686</v>
      </c>
      <c r="M4" s="34" t="s">
        <v>112</v>
      </c>
      <c r="N4" s="31" t="s">
        <v>745</v>
      </c>
      <c r="O4" s="37"/>
      <c r="P4" s="38"/>
      <c r="Q4" s="38"/>
      <c r="R4" s="37"/>
      <c r="S4" s="37"/>
      <c r="T4" s="37"/>
      <c r="U4" s="37"/>
      <c r="V4" s="37"/>
      <c r="W4" s="37"/>
      <c r="X4" s="37"/>
      <c r="Y4" s="37"/>
      <c r="Z4" s="37"/>
      <c r="AA4" s="37"/>
      <c r="AB4" s="37"/>
      <c r="AC4" s="37"/>
      <c r="AD4" s="37"/>
      <c r="AE4" s="37"/>
      <c r="AF4" s="37"/>
      <c r="AG4" s="37"/>
      <c r="AH4" s="37"/>
      <c r="AI4" s="37"/>
      <c r="AJ4" s="37"/>
    </row>
    <row r="5" ht="27.75" customHeight="1">
      <c r="A5" s="28" t="s">
        <v>748</v>
      </c>
      <c r="B5" s="30" t="s">
        <v>153</v>
      </c>
      <c r="C5" s="31" t="s">
        <v>749</v>
      </c>
      <c r="D5" s="31" t="s">
        <v>750</v>
      </c>
      <c r="E5" s="32" t="s">
        <v>140</v>
      </c>
      <c r="F5" s="34" t="s">
        <v>246</v>
      </c>
      <c r="G5" s="34" t="s">
        <v>193</v>
      </c>
      <c r="H5" s="34" t="s">
        <v>233</v>
      </c>
      <c r="I5" s="34" t="s">
        <v>105</v>
      </c>
      <c r="J5" s="35" t="s">
        <v>108</v>
      </c>
      <c r="K5" s="36">
        <v>1.0</v>
      </c>
      <c r="L5" s="30"/>
      <c r="M5" s="34" t="s">
        <v>165</v>
      </c>
      <c r="N5" s="31" t="s">
        <v>751</v>
      </c>
      <c r="O5" s="37"/>
      <c r="P5" s="37"/>
      <c r="Q5" s="38"/>
      <c r="R5" s="38"/>
      <c r="S5" s="37"/>
      <c r="T5" s="37"/>
      <c r="U5" s="37"/>
      <c r="V5" s="37"/>
      <c r="W5" s="37"/>
      <c r="X5" s="37"/>
      <c r="Y5" s="37"/>
      <c r="Z5" s="37"/>
      <c r="AA5" s="37"/>
      <c r="AB5" s="37"/>
      <c r="AC5" s="37"/>
      <c r="AD5" s="37"/>
      <c r="AE5" s="37"/>
      <c r="AF5" s="37"/>
      <c r="AG5" s="37"/>
      <c r="AH5" s="37"/>
      <c r="AI5" s="37"/>
      <c r="AJ5" s="37"/>
    </row>
    <row r="6" ht="39.0" customHeight="1">
      <c r="A6" s="28" t="s">
        <v>753</v>
      </c>
      <c r="B6" s="30" t="s">
        <v>153</v>
      </c>
      <c r="C6" s="31" t="s">
        <v>754</v>
      </c>
      <c r="D6" s="31" t="s">
        <v>755</v>
      </c>
      <c r="E6" s="32" t="s">
        <v>140</v>
      </c>
      <c r="F6" s="34" t="s">
        <v>246</v>
      </c>
      <c r="G6" s="34" t="s">
        <v>193</v>
      </c>
      <c r="H6" s="34" t="s">
        <v>233</v>
      </c>
      <c r="I6" s="34" t="s">
        <v>105</v>
      </c>
      <c r="J6" s="35" t="s">
        <v>521</v>
      </c>
      <c r="K6" s="36">
        <v>0.7</v>
      </c>
      <c r="L6" s="30" t="s">
        <v>285</v>
      </c>
      <c r="M6" s="34" t="s">
        <v>112</v>
      </c>
      <c r="N6" s="31" t="s">
        <v>757</v>
      </c>
      <c r="O6" s="37"/>
      <c r="P6" s="37"/>
      <c r="Q6" s="38"/>
      <c r="R6" s="38"/>
      <c r="S6" s="37"/>
      <c r="T6" s="37"/>
      <c r="U6" s="37"/>
      <c r="V6" s="37"/>
      <c r="W6" s="37"/>
      <c r="X6" s="37"/>
      <c r="Y6" s="37"/>
      <c r="Z6" s="37"/>
      <c r="AA6" s="37"/>
      <c r="AB6" s="37"/>
      <c r="AC6" s="37"/>
      <c r="AD6" s="37"/>
      <c r="AE6" s="37"/>
      <c r="AF6" s="37"/>
      <c r="AG6" s="37"/>
      <c r="AH6" s="37"/>
      <c r="AI6" s="37"/>
      <c r="AJ6" s="37"/>
    </row>
    <row r="7" ht="27.75" customHeight="1">
      <c r="A7" s="28" t="s">
        <v>760</v>
      </c>
      <c r="B7" s="30" t="s">
        <v>153</v>
      </c>
      <c r="C7" s="31" t="s">
        <v>761</v>
      </c>
      <c r="D7" s="31" t="s">
        <v>762</v>
      </c>
      <c r="E7" s="32" t="s">
        <v>140</v>
      </c>
      <c r="F7" s="34" t="s">
        <v>48</v>
      </c>
      <c r="G7" s="34" t="s">
        <v>209</v>
      </c>
      <c r="H7" s="34" t="s">
        <v>233</v>
      </c>
      <c r="I7" s="34" t="s">
        <v>105</v>
      </c>
      <c r="J7" s="35" t="s">
        <v>108</v>
      </c>
      <c r="K7" s="36">
        <v>1.0</v>
      </c>
      <c r="L7" s="30" t="s">
        <v>753</v>
      </c>
      <c r="M7" s="34" t="s">
        <v>165</v>
      </c>
      <c r="N7" s="31" t="s">
        <v>763</v>
      </c>
      <c r="O7" s="37"/>
      <c r="P7" s="37"/>
      <c r="Q7" s="37"/>
      <c r="R7" s="38"/>
      <c r="S7" s="37"/>
      <c r="T7" s="37"/>
      <c r="U7" s="37"/>
      <c r="V7" s="37"/>
      <c r="W7" s="37"/>
      <c r="X7" s="37"/>
      <c r="Y7" s="37"/>
      <c r="Z7" s="37"/>
      <c r="AA7" s="37"/>
      <c r="AB7" s="37"/>
      <c r="AC7" s="37"/>
      <c r="AD7" s="37"/>
      <c r="AE7" s="37"/>
      <c r="AF7" s="37"/>
      <c r="AG7" s="37"/>
      <c r="AH7" s="37"/>
      <c r="AI7" s="37"/>
      <c r="AJ7" s="37"/>
    </row>
    <row r="8" ht="39.0" customHeight="1">
      <c r="A8" s="28" t="s">
        <v>766</v>
      </c>
      <c r="B8" s="30" t="s">
        <v>767</v>
      </c>
      <c r="C8" s="40" t="s">
        <v>768</v>
      </c>
      <c r="D8" s="40" t="s">
        <v>770</v>
      </c>
      <c r="E8" s="32" t="s">
        <v>140</v>
      </c>
      <c r="F8" s="34" t="s">
        <v>208</v>
      </c>
      <c r="G8" s="34" t="s">
        <v>209</v>
      </c>
      <c r="H8" s="34" t="s">
        <v>210</v>
      </c>
      <c r="I8" s="34" t="s">
        <v>105</v>
      </c>
      <c r="J8" s="35" t="s">
        <v>108</v>
      </c>
      <c r="K8" s="36">
        <v>1.0</v>
      </c>
      <c r="L8" s="32" t="s">
        <v>748</v>
      </c>
      <c r="M8" s="34" t="s">
        <v>112</v>
      </c>
      <c r="N8" s="40" t="s">
        <v>774</v>
      </c>
      <c r="O8" s="37"/>
      <c r="P8" s="37"/>
      <c r="Q8" s="37"/>
      <c r="R8" s="38"/>
      <c r="S8" s="38"/>
      <c r="T8" s="37"/>
      <c r="U8" s="37"/>
      <c r="V8" s="37"/>
      <c r="W8" s="37"/>
      <c r="X8" s="37"/>
      <c r="Y8" s="37"/>
      <c r="Z8" s="37"/>
      <c r="AA8" s="37"/>
      <c r="AB8" s="37"/>
      <c r="AC8" s="37"/>
      <c r="AD8" s="37"/>
      <c r="AE8" s="37"/>
      <c r="AF8" s="37"/>
      <c r="AG8" s="37"/>
      <c r="AH8" s="37"/>
      <c r="AI8" s="37"/>
      <c r="AJ8" s="37"/>
    </row>
    <row r="9" ht="27.75" customHeight="1">
      <c r="A9" s="28" t="s">
        <v>775</v>
      </c>
      <c r="B9" s="30" t="s">
        <v>767</v>
      </c>
      <c r="C9" s="31" t="s">
        <v>776</v>
      </c>
      <c r="D9" s="31" t="s">
        <v>777</v>
      </c>
      <c r="E9" s="32" t="s">
        <v>140</v>
      </c>
      <c r="F9" s="34" t="s">
        <v>50</v>
      </c>
      <c r="G9" s="34" t="s">
        <v>223</v>
      </c>
      <c r="H9" s="34" t="s">
        <v>210</v>
      </c>
      <c r="I9" s="34" t="s">
        <v>105</v>
      </c>
      <c r="J9" s="35" t="s">
        <v>108</v>
      </c>
      <c r="K9" s="36">
        <v>1.0</v>
      </c>
      <c r="L9" s="30" t="s">
        <v>766</v>
      </c>
      <c r="M9" s="34" t="s">
        <v>165</v>
      </c>
      <c r="N9" s="31"/>
      <c r="O9" s="37"/>
      <c r="P9" s="37"/>
      <c r="Q9" s="37"/>
      <c r="R9" s="37"/>
      <c r="S9" s="38"/>
      <c r="T9" s="37"/>
      <c r="U9" s="37"/>
      <c r="V9" s="37"/>
      <c r="W9" s="37"/>
      <c r="X9" s="37"/>
      <c r="Y9" s="37"/>
      <c r="Z9" s="37"/>
      <c r="AA9" s="37"/>
      <c r="AB9" s="37"/>
      <c r="AC9" s="37"/>
      <c r="AD9" s="37"/>
      <c r="AE9" s="37"/>
      <c r="AF9" s="37"/>
      <c r="AG9" s="37"/>
      <c r="AH9" s="37"/>
      <c r="AI9" s="37"/>
      <c r="AJ9" s="37"/>
    </row>
    <row r="10" ht="51.75" customHeight="1">
      <c r="A10" s="28" t="s">
        <v>781</v>
      </c>
      <c r="B10" s="30" t="s">
        <v>479</v>
      </c>
      <c r="C10" s="31" t="s">
        <v>782</v>
      </c>
      <c r="D10" s="31" t="s">
        <v>783</v>
      </c>
      <c r="E10" s="32" t="s">
        <v>140</v>
      </c>
      <c r="F10" s="34" t="s">
        <v>437</v>
      </c>
      <c r="G10" s="34" t="s">
        <v>223</v>
      </c>
      <c r="H10" s="34" t="s">
        <v>240</v>
      </c>
      <c r="I10" s="34" t="s">
        <v>105</v>
      </c>
      <c r="J10" s="34" t="s">
        <v>148</v>
      </c>
      <c r="K10" s="34" t="s">
        <v>150</v>
      </c>
      <c r="L10" s="30" t="s">
        <v>775</v>
      </c>
      <c r="M10" s="34" t="s">
        <v>165</v>
      </c>
      <c r="N10" s="31" t="s">
        <v>785</v>
      </c>
      <c r="O10" s="37"/>
      <c r="P10" s="37"/>
      <c r="Q10" s="37"/>
      <c r="R10" s="37"/>
      <c r="S10" s="38"/>
      <c r="T10" s="38"/>
      <c r="U10" s="38"/>
      <c r="V10" s="37"/>
      <c r="W10" s="37"/>
      <c r="X10" s="37"/>
      <c r="Y10" s="37"/>
      <c r="Z10" s="37"/>
      <c r="AA10" s="37"/>
      <c r="AB10" s="37"/>
      <c r="AC10" s="37"/>
      <c r="AD10" s="37"/>
      <c r="AE10" s="37"/>
      <c r="AF10" s="37"/>
      <c r="AG10" s="37"/>
      <c r="AH10" s="37"/>
      <c r="AI10" s="37"/>
      <c r="AJ10" s="37"/>
    </row>
    <row r="11" ht="39.0" customHeight="1">
      <c r="A11" s="28" t="s">
        <v>790</v>
      </c>
      <c r="B11" s="30" t="s">
        <v>479</v>
      </c>
      <c r="C11" s="31" t="s">
        <v>791</v>
      </c>
      <c r="D11" s="31" t="s">
        <v>792</v>
      </c>
      <c r="E11" s="32" t="s">
        <v>140</v>
      </c>
      <c r="F11" s="34" t="s">
        <v>251</v>
      </c>
      <c r="G11" s="34" t="s">
        <v>252</v>
      </c>
      <c r="H11" s="34" t="s">
        <v>254</v>
      </c>
      <c r="I11" s="34" t="s">
        <v>105</v>
      </c>
      <c r="J11" s="34" t="s">
        <v>148</v>
      </c>
      <c r="K11" s="34" t="s">
        <v>150</v>
      </c>
      <c r="L11" s="30" t="s">
        <v>467</v>
      </c>
      <c r="M11" s="34" t="s">
        <v>165</v>
      </c>
      <c r="N11" s="31" t="s">
        <v>793</v>
      </c>
      <c r="O11" s="37"/>
      <c r="P11" s="37"/>
      <c r="Q11" s="37"/>
      <c r="R11" s="37"/>
      <c r="S11" s="37"/>
      <c r="T11" s="37"/>
      <c r="U11" s="38"/>
      <c r="V11" s="38"/>
      <c r="W11" s="37"/>
      <c r="X11" s="37"/>
      <c r="Y11" s="37"/>
      <c r="Z11" s="37"/>
      <c r="AA11" s="37"/>
      <c r="AB11" s="37"/>
      <c r="AC11" s="37"/>
      <c r="AD11" s="37"/>
      <c r="AE11" s="37"/>
      <c r="AF11" s="37"/>
      <c r="AG11" s="37"/>
      <c r="AH11" s="37"/>
      <c r="AI11" s="37"/>
      <c r="AJ11" s="37"/>
    </row>
    <row r="12" ht="27.75" customHeight="1">
      <c r="A12" s="28" t="s">
        <v>794</v>
      </c>
      <c r="B12" s="30" t="s">
        <v>479</v>
      </c>
      <c r="C12" s="31" t="s">
        <v>796</v>
      </c>
      <c r="D12" s="31" t="s">
        <v>798</v>
      </c>
      <c r="E12" s="32" t="s">
        <v>140</v>
      </c>
      <c r="F12" s="34" t="s">
        <v>251</v>
      </c>
      <c r="G12" s="34" t="s">
        <v>252</v>
      </c>
      <c r="H12" s="34" t="s">
        <v>254</v>
      </c>
      <c r="I12" s="34" t="s">
        <v>105</v>
      </c>
      <c r="J12" s="34" t="s">
        <v>148</v>
      </c>
      <c r="K12" s="34" t="s">
        <v>150</v>
      </c>
      <c r="L12" s="30" t="s">
        <v>781</v>
      </c>
      <c r="M12" s="34" t="s">
        <v>165</v>
      </c>
      <c r="N12" s="31" t="s">
        <v>804</v>
      </c>
      <c r="O12" s="37"/>
      <c r="P12" s="37"/>
      <c r="Q12" s="37"/>
      <c r="R12" s="37"/>
      <c r="S12" s="37"/>
      <c r="T12" s="37"/>
      <c r="U12" s="38"/>
      <c r="V12" s="38"/>
      <c r="W12" s="37"/>
      <c r="X12" s="37"/>
      <c r="Y12" s="37"/>
      <c r="Z12" s="37"/>
      <c r="AA12" s="37"/>
      <c r="AB12" s="37"/>
      <c r="AC12" s="37"/>
      <c r="AD12" s="37"/>
      <c r="AE12" s="37"/>
      <c r="AF12" s="37"/>
      <c r="AG12" s="37"/>
      <c r="AH12" s="37"/>
      <c r="AI12" s="37"/>
      <c r="AJ12" s="37"/>
    </row>
    <row r="13" ht="27.75" customHeight="1">
      <c r="A13" s="28" t="s">
        <v>807</v>
      </c>
      <c r="B13" s="30" t="s">
        <v>479</v>
      </c>
      <c r="C13" s="31" t="s">
        <v>808</v>
      </c>
      <c r="D13" s="31" t="s">
        <v>809</v>
      </c>
      <c r="E13" s="32" t="s">
        <v>140</v>
      </c>
      <c r="F13" s="34" t="s">
        <v>282</v>
      </c>
      <c r="G13" s="34" t="s">
        <v>269</v>
      </c>
      <c r="H13" s="34" t="s">
        <v>283</v>
      </c>
      <c r="I13" s="34" t="s">
        <v>105</v>
      </c>
      <c r="J13" s="34" t="s">
        <v>148</v>
      </c>
      <c r="K13" s="34" t="s">
        <v>150</v>
      </c>
      <c r="L13" s="30" t="s">
        <v>794</v>
      </c>
      <c r="M13" s="34" t="s">
        <v>165</v>
      </c>
      <c r="N13" s="31" t="s">
        <v>811</v>
      </c>
      <c r="O13" s="37"/>
      <c r="P13" s="37"/>
      <c r="Q13" s="37"/>
      <c r="R13" s="37"/>
      <c r="S13" s="37"/>
      <c r="T13" s="37"/>
      <c r="U13" s="37"/>
      <c r="V13" s="38"/>
      <c r="W13" s="38"/>
      <c r="X13" s="37"/>
      <c r="Y13" s="37"/>
      <c r="Z13" s="37"/>
      <c r="AA13" s="37"/>
      <c r="AB13" s="37"/>
      <c r="AC13" s="37"/>
      <c r="AD13" s="37"/>
      <c r="AE13" s="37"/>
      <c r="AF13" s="37"/>
      <c r="AG13" s="37"/>
      <c r="AH13" s="37"/>
      <c r="AI13" s="37"/>
      <c r="AJ13" s="37"/>
    </row>
    <row r="14" ht="27.75" customHeight="1">
      <c r="A14" s="28" t="s">
        <v>814</v>
      </c>
      <c r="B14" s="30" t="s">
        <v>479</v>
      </c>
      <c r="C14" s="31" t="s">
        <v>815</v>
      </c>
      <c r="D14" s="31" t="s">
        <v>816</v>
      </c>
      <c r="E14" s="32" t="s">
        <v>140</v>
      </c>
      <c r="F14" s="34" t="s">
        <v>58</v>
      </c>
      <c r="G14" s="34" t="s">
        <v>294</v>
      </c>
      <c r="H14" s="34" t="s">
        <v>283</v>
      </c>
      <c r="I14" s="34" t="s">
        <v>105</v>
      </c>
      <c r="J14" s="34" t="s">
        <v>148</v>
      </c>
      <c r="K14" s="34" t="s">
        <v>150</v>
      </c>
      <c r="L14" s="30" t="s">
        <v>807</v>
      </c>
      <c r="M14" s="34" t="s">
        <v>112</v>
      </c>
      <c r="N14" s="31" t="s">
        <v>817</v>
      </c>
      <c r="O14" s="37"/>
      <c r="P14" s="37"/>
      <c r="Q14" s="37"/>
      <c r="R14" s="37"/>
      <c r="S14" s="37"/>
      <c r="T14" s="37"/>
      <c r="U14" s="37"/>
      <c r="V14" s="37"/>
      <c r="W14" s="38"/>
      <c r="X14" s="37"/>
      <c r="Y14" s="37"/>
      <c r="Z14" s="37"/>
      <c r="AA14" s="37"/>
      <c r="AB14" s="37"/>
      <c r="AC14" s="37"/>
      <c r="AD14" s="37"/>
      <c r="AE14" s="37"/>
      <c r="AF14" s="37"/>
      <c r="AG14" s="37"/>
      <c r="AH14" s="37"/>
      <c r="AI14" s="37"/>
      <c r="AJ14" s="37"/>
    </row>
    <row r="15" ht="27.75" customHeight="1">
      <c r="A15" s="28" t="s">
        <v>819</v>
      </c>
      <c r="B15" s="30" t="s">
        <v>479</v>
      </c>
      <c r="C15" s="31" t="s">
        <v>821</v>
      </c>
      <c r="D15" s="31" t="s">
        <v>822</v>
      </c>
      <c r="E15" s="32" t="s">
        <v>140</v>
      </c>
      <c r="F15" s="34" t="s">
        <v>305</v>
      </c>
      <c r="G15" s="34" t="s">
        <v>294</v>
      </c>
      <c r="H15" s="34" t="s">
        <v>306</v>
      </c>
      <c r="I15" s="34" t="s">
        <v>105</v>
      </c>
      <c r="J15" s="34" t="s">
        <v>148</v>
      </c>
      <c r="K15" s="34" t="s">
        <v>150</v>
      </c>
      <c r="L15" s="30" t="s">
        <v>814</v>
      </c>
      <c r="M15" s="34" t="s">
        <v>165</v>
      </c>
      <c r="N15" s="31" t="s">
        <v>823</v>
      </c>
      <c r="O15" s="37"/>
      <c r="P15" s="37"/>
      <c r="Q15" s="37"/>
      <c r="R15" s="37"/>
      <c r="S15" s="37"/>
      <c r="T15" s="37"/>
      <c r="U15" s="37"/>
      <c r="V15" s="37"/>
      <c r="W15" s="38"/>
      <c r="X15" s="38"/>
      <c r="Y15" s="37"/>
      <c r="Z15" s="37"/>
      <c r="AA15" s="37"/>
      <c r="AB15" s="37"/>
      <c r="AC15" s="37"/>
      <c r="AD15" s="37"/>
      <c r="AE15" s="37"/>
      <c r="AF15" s="37"/>
      <c r="AG15" s="37"/>
      <c r="AH15" s="37"/>
      <c r="AI15" s="37"/>
      <c r="AJ15" s="37"/>
    </row>
    <row r="16" ht="51.75" customHeight="1">
      <c r="A16" s="28" t="s">
        <v>824</v>
      </c>
      <c r="B16" s="30" t="s">
        <v>479</v>
      </c>
      <c r="C16" s="31" t="s">
        <v>825</v>
      </c>
      <c r="D16" s="31" t="s">
        <v>826</v>
      </c>
      <c r="E16" s="32" t="s">
        <v>140</v>
      </c>
      <c r="F16" s="34" t="s">
        <v>222</v>
      </c>
      <c r="G16" s="34" t="s">
        <v>223</v>
      </c>
      <c r="H16" s="34" t="s">
        <v>224</v>
      </c>
      <c r="I16" s="34" t="s">
        <v>105</v>
      </c>
      <c r="J16" s="34" t="s">
        <v>148</v>
      </c>
      <c r="K16" s="34" t="s">
        <v>150</v>
      </c>
      <c r="L16" s="30" t="s">
        <v>539</v>
      </c>
      <c r="M16" s="34" t="s">
        <v>112</v>
      </c>
      <c r="N16" s="31" t="s">
        <v>827</v>
      </c>
      <c r="O16" s="37"/>
      <c r="P16" s="37"/>
      <c r="Q16" s="37"/>
      <c r="R16" s="37"/>
      <c r="S16" s="38"/>
      <c r="T16" s="38"/>
      <c r="U16" s="37"/>
      <c r="V16" s="37"/>
      <c r="W16" s="37"/>
      <c r="X16" s="37"/>
      <c r="Y16" s="37"/>
      <c r="Z16" s="37"/>
      <c r="AA16" s="37"/>
      <c r="AB16" s="37"/>
      <c r="AC16" s="37"/>
      <c r="AD16" s="37"/>
      <c r="AE16" s="37"/>
      <c r="AF16" s="37"/>
      <c r="AG16" s="37"/>
      <c r="AH16" s="37"/>
      <c r="AI16" s="37"/>
      <c r="AJ16" s="37"/>
    </row>
    <row r="17" ht="39.0" customHeight="1">
      <c r="A17" s="28" t="s">
        <v>828</v>
      </c>
      <c r="B17" s="30" t="s">
        <v>767</v>
      </c>
      <c r="C17" s="31" t="s">
        <v>829</v>
      </c>
      <c r="D17" s="31" t="s">
        <v>830</v>
      </c>
      <c r="E17" s="32" t="s">
        <v>140</v>
      </c>
      <c r="F17" s="34" t="s">
        <v>62</v>
      </c>
      <c r="G17" s="34" t="s">
        <v>344</v>
      </c>
      <c r="H17" s="34" t="s">
        <v>331</v>
      </c>
      <c r="I17" s="34" t="s">
        <v>105</v>
      </c>
      <c r="J17" s="34" t="s">
        <v>148</v>
      </c>
      <c r="K17" s="34" t="s">
        <v>150</v>
      </c>
      <c r="L17" s="30" t="s">
        <v>467</v>
      </c>
      <c r="M17" s="34" t="s">
        <v>112</v>
      </c>
      <c r="N17" s="31" t="s">
        <v>832</v>
      </c>
      <c r="O17" s="37"/>
      <c r="P17" s="37"/>
      <c r="Q17" s="37"/>
      <c r="R17" s="37"/>
      <c r="S17" s="37"/>
      <c r="T17" s="37"/>
      <c r="U17" s="37"/>
      <c r="V17" s="37"/>
      <c r="W17" s="37"/>
      <c r="X17" s="37"/>
      <c r="Y17" s="38"/>
      <c r="Z17" s="37"/>
      <c r="AA17" s="37"/>
      <c r="AB17" s="37"/>
      <c r="AC17" s="37"/>
      <c r="AD17" s="37"/>
      <c r="AE17" s="37"/>
      <c r="AF17" s="37"/>
      <c r="AG17" s="37"/>
      <c r="AH17" s="37"/>
      <c r="AI17" s="37"/>
      <c r="AJ17" s="37"/>
    </row>
    <row r="18" ht="27.75" customHeight="1">
      <c r="A18" s="28" t="s">
        <v>834</v>
      </c>
      <c r="B18" s="30" t="s">
        <v>836</v>
      </c>
      <c r="C18" s="31" t="s">
        <v>837</v>
      </c>
      <c r="D18" s="31" t="s">
        <v>839</v>
      </c>
      <c r="E18" s="32" t="s">
        <v>140</v>
      </c>
      <c r="F18" s="34" t="s">
        <v>358</v>
      </c>
      <c r="G18" s="34" t="s">
        <v>360</v>
      </c>
      <c r="H18" s="34" t="s">
        <v>361</v>
      </c>
      <c r="I18" s="34" t="s">
        <v>105</v>
      </c>
      <c r="J18" s="34" t="s">
        <v>148</v>
      </c>
      <c r="K18" s="34" t="s">
        <v>150</v>
      </c>
      <c r="L18" s="30" t="s">
        <v>582</v>
      </c>
      <c r="M18" s="34" t="s">
        <v>165</v>
      </c>
      <c r="N18" s="31" t="s">
        <v>841</v>
      </c>
      <c r="O18" s="37"/>
      <c r="P18" s="37"/>
      <c r="Q18" s="37"/>
      <c r="R18" s="37"/>
      <c r="S18" s="37"/>
      <c r="T18" s="37"/>
      <c r="U18" s="37"/>
      <c r="V18" s="37"/>
      <c r="W18" s="37"/>
      <c r="X18" s="37"/>
      <c r="Y18" s="37"/>
      <c r="Z18" s="38"/>
      <c r="AA18" s="38"/>
      <c r="AB18" s="37"/>
      <c r="AC18" s="37"/>
      <c r="AD18" s="37"/>
      <c r="AE18" s="37"/>
      <c r="AF18" s="37"/>
      <c r="AG18" s="37"/>
      <c r="AH18" s="37"/>
      <c r="AI18" s="37"/>
      <c r="AJ18" s="37"/>
    </row>
    <row r="19" ht="39.0" customHeight="1">
      <c r="A19" s="28" t="s">
        <v>842</v>
      </c>
      <c r="B19" s="30" t="s">
        <v>843</v>
      </c>
      <c r="C19" s="31" t="s">
        <v>844</v>
      </c>
      <c r="D19" s="31" t="s">
        <v>845</v>
      </c>
      <c r="E19" s="32" t="s">
        <v>140</v>
      </c>
      <c r="F19" s="34" t="s">
        <v>373</v>
      </c>
      <c r="G19" s="34" t="s">
        <v>376</v>
      </c>
      <c r="H19" s="34" t="s">
        <v>377</v>
      </c>
      <c r="I19" s="34" t="s">
        <v>105</v>
      </c>
      <c r="J19" s="34" t="s">
        <v>148</v>
      </c>
      <c r="K19" s="34" t="s">
        <v>150</v>
      </c>
      <c r="L19" s="30" t="s">
        <v>849</v>
      </c>
      <c r="M19" s="34" t="s">
        <v>165</v>
      </c>
      <c r="N19" s="31" t="s">
        <v>850</v>
      </c>
      <c r="O19" s="37"/>
      <c r="P19" s="37"/>
      <c r="Q19" s="37"/>
      <c r="R19" s="37"/>
      <c r="S19" s="37"/>
      <c r="T19" s="37"/>
      <c r="U19" s="37"/>
      <c r="V19" s="37"/>
      <c r="W19" s="37"/>
      <c r="X19" s="37"/>
      <c r="Y19" s="37"/>
      <c r="Z19" s="37"/>
      <c r="AA19" s="38"/>
      <c r="AB19" s="38"/>
      <c r="AC19" s="37"/>
      <c r="AD19" s="37"/>
      <c r="AE19" s="37"/>
      <c r="AF19" s="37"/>
      <c r="AG19" s="37"/>
      <c r="AH19" s="37"/>
      <c r="AI19" s="37"/>
      <c r="AJ19" s="37"/>
    </row>
    <row r="20" ht="39.0" customHeight="1">
      <c r="A20" s="28" t="s">
        <v>851</v>
      </c>
      <c r="B20" s="30" t="s">
        <v>843</v>
      </c>
      <c r="C20" s="31" t="s">
        <v>852</v>
      </c>
      <c r="D20" s="31" t="s">
        <v>853</v>
      </c>
      <c r="E20" s="32" t="s">
        <v>140</v>
      </c>
      <c r="F20" s="34" t="s">
        <v>69</v>
      </c>
      <c r="G20" s="34" t="s">
        <v>379</v>
      </c>
      <c r="H20" s="34" t="s">
        <v>377</v>
      </c>
      <c r="I20" s="34" t="s">
        <v>105</v>
      </c>
      <c r="J20" s="34" t="s">
        <v>148</v>
      </c>
      <c r="K20" s="34" t="s">
        <v>150</v>
      </c>
      <c r="L20" s="30" t="s">
        <v>842</v>
      </c>
      <c r="M20" s="34" t="s">
        <v>165</v>
      </c>
      <c r="N20" s="31" t="s">
        <v>856</v>
      </c>
      <c r="O20" s="37"/>
      <c r="P20" s="37"/>
      <c r="Q20" s="37"/>
      <c r="R20" s="37"/>
      <c r="S20" s="37"/>
      <c r="T20" s="37"/>
      <c r="U20" s="37"/>
      <c r="V20" s="37"/>
      <c r="W20" s="37"/>
      <c r="X20" s="37"/>
      <c r="Y20" s="37"/>
      <c r="Z20" s="37"/>
      <c r="AA20" s="37"/>
      <c r="AB20" s="38"/>
      <c r="AC20" s="37"/>
      <c r="AD20" s="37"/>
      <c r="AE20" s="37"/>
      <c r="AF20" s="37"/>
      <c r="AG20" s="37"/>
      <c r="AH20" s="37"/>
      <c r="AI20" s="37"/>
      <c r="AJ20" s="37"/>
    </row>
    <row r="21" ht="51.75" customHeight="1">
      <c r="A21" s="28" t="s">
        <v>859</v>
      </c>
      <c r="B21" s="30" t="s">
        <v>843</v>
      </c>
      <c r="C21" s="31" t="s">
        <v>860</v>
      </c>
      <c r="D21" s="31" t="s">
        <v>861</v>
      </c>
      <c r="E21" s="32" t="s">
        <v>140</v>
      </c>
      <c r="F21" s="34" t="s">
        <v>616</v>
      </c>
      <c r="G21" s="34" t="s">
        <v>379</v>
      </c>
      <c r="H21" s="34" t="s">
        <v>617</v>
      </c>
      <c r="I21" s="34" t="s">
        <v>260</v>
      </c>
      <c r="J21" s="34" t="s">
        <v>148</v>
      </c>
      <c r="K21" s="34" t="s">
        <v>150</v>
      </c>
      <c r="L21" s="30" t="s">
        <v>661</v>
      </c>
      <c r="M21" s="34" t="s">
        <v>112</v>
      </c>
      <c r="N21" s="31" t="s">
        <v>862</v>
      </c>
      <c r="O21" s="37"/>
      <c r="P21" s="37"/>
      <c r="Q21" s="37"/>
      <c r="R21" s="37"/>
      <c r="S21" s="37"/>
      <c r="T21" s="37"/>
      <c r="U21" s="37"/>
      <c r="V21" s="37"/>
      <c r="W21" s="37"/>
      <c r="X21" s="37"/>
      <c r="Y21" s="37"/>
      <c r="Z21" s="37"/>
      <c r="AA21" s="37"/>
      <c r="AB21" s="38"/>
      <c r="AC21" s="38"/>
      <c r="AD21" s="37"/>
      <c r="AE21" s="37"/>
      <c r="AF21" s="37"/>
      <c r="AG21" s="37"/>
      <c r="AH21" s="37"/>
      <c r="AI21" s="37"/>
      <c r="AJ21" s="37"/>
    </row>
    <row r="22" ht="64.5" customHeight="1">
      <c r="A22" s="28" t="s">
        <v>866</v>
      </c>
      <c r="B22" s="30" t="s">
        <v>153</v>
      </c>
      <c r="C22" s="31" t="s">
        <v>867</v>
      </c>
      <c r="D22" s="31" t="s">
        <v>868</v>
      </c>
      <c r="E22" s="32" t="s">
        <v>140</v>
      </c>
      <c r="F22" s="34" t="s">
        <v>555</v>
      </c>
      <c r="G22" s="34" t="s">
        <v>391</v>
      </c>
      <c r="H22" s="34" t="s">
        <v>557</v>
      </c>
      <c r="I22" s="34" t="s">
        <v>105</v>
      </c>
      <c r="J22" s="34" t="s">
        <v>148</v>
      </c>
      <c r="K22" s="34" t="s">
        <v>150</v>
      </c>
      <c r="L22" s="30" t="s">
        <v>668</v>
      </c>
      <c r="M22" s="34" t="s">
        <v>112</v>
      </c>
      <c r="N22" s="31" t="s">
        <v>869</v>
      </c>
      <c r="O22" s="37"/>
      <c r="P22" s="37"/>
      <c r="Q22" s="37"/>
      <c r="R22" s="37"/>
      <c r="S22" s="37"/>
      <c r="T22" s="37"/>
      <c r="U22" s="37"/>
      <c r="V22" s="37"/>
      <c r="W22" s="37"/>
      <c r="X22" s="37"/>
      <c r="Y22" s="37"/>
      <c r="Z22" s="37"/>
      <c r="AA22" s="37"/>
      <c r="AB22" s="37"/>
      <c r="AC22" s="38"/>
      <c r="AD22" s="38"/>
      <c r="AE22" s="38"/>
      <c r="AF22" s="37"/>
      <c r="AG22" s="37"/>
      <c r="AH22" s="37"/>
      <c r="AI22" s="37"/>
      <c r="AJ22" s="37"/>
    </row>
    <row r="23" ht="27.75" customHeight="1">
      <c r="A23" s="28" t="s">
        <v>871</v>
      </c>
      <c r="B23" s="30" t="s">
        <v>153</v>
      </c>
      <c r="C23" s="31" t="s">
        <v>873</v>
      </c>
      <c r="D23" s="31" t="s">
        <v>875</v>
      </c>
      <c r="E23" s="32" t="s">
        <v>140</v>
      </c>
      <c r="F23" s="34" t="s">
        <v>73</v>
      </c>
      <c r="G23" s="34" t="s">
        <v>567</v>
      </c>
      <c r="H23" s="34" t="s">
        <v>557</v>
      </c>
      <c r="I23" s="34" t="s">
        <v>260</v>
      </c>
      <c r="J23" s="34" t="s">
        <v>148</v>
      </c>
      <c r="K23" s="34" t="s">
        <v>150</v>
      </c>
      <c r="L23" s="30" t="s">
        <v>599</v>
      </c>
      <c r="M23" s="34" t="s">
        <v>165</v>
      </c>
      <c r="N23" s="31" t="s">
        <v>876</v>
      </c>
      <c r="O23" s="37"/>
      <c r="P23" s="37"/>
      <c r="Q23" s="37"/>
      <c r="R23" s="37"/>
      <c r="S23" s="37"/>
      <c r="T23" s="37"/>
      <c r="U23" s="37"/>
      <c r="V23" s="37"/>
      <c r="W23" s="37"/>
      <c r="X23" s="37"/>
      <c r="Y23" s="37"/>
      <c r="Z23" s="37"/>
      <c r="AA23" s="37"/>
      <c r="AB23" s="37"/>
      <c r="AC23" s="37"/>
      <c r="AD23" s="37"/>
      <c r="AE23" s="38"/>
      <c r="AF23" s="37"/>
      <c r="AG23" s="37"/>
      <c r="AH23" s="37"/>
      <c r="AI23" s="37"/>
      <c r="AJ23" s="37"/>
    </row>
    <row r="24" ht="27.75" customHeight="1">
      <c r="A24" s="28" t="s">
        <v>877</v>
      </c>
      <c r="B24" s="30" t="s">
        <v>446</v>
      </c>
      <c r="C24" s="31" t="s">
        <v>878</v>
      </c>
      <c r="D24" s="31" t="s">
        <v>879</v>
      </c>
      <c r="E24" s="32" t="s">
        <v>140</v>
      </c>
      <c r="F24" s="34" t="s">
        <v>416</v>
      </c>
      <c r="G24" s="34" t="s">
        <v>418</v>
      </c>
      <c r="H24" s="34" t="s">
        <v>400</v>
      </c>
      <c r="I24" s="34" t="s">
        <v>105</v>
      </c>
      <c r="J24" s="34" t="s">
        <v>148</v>
      </c>
      <c r="K24" s="34" t="s">
        <v>150</v>
      </c>
      <c r="L24" s="30"/>
      <c r="M24" s="34" t="s">
        <v>165</v>
      </c>
      <c r="N24" s="31" t="s">
        <v>883</v>
      </c>
      <c r="O24" s="37"/>
      <c r="P24" s="37"/>
      <c r="Q24" s="37"/>
      <c r="R24" s="37"/>
      <c r="S24" s="37"/>
      <c r="T24" s="37"/>
      <c r="U24" s="37"/>
      <c r="V24" s="37"/>
      <c r="W24" s="37"/>
      <c r="X24" s="37"/>
      <c r="Y24" s="37"/>
      <c r="Z24" s="37"/>
      <c r="AA24" s="37"/>
      <c r="AB24" s="37"/>
      <c r="AC24" s="37"/>
      <c r="AD24" s="37"/>
      <c r="AE24" s="37"/>
      <c r="AF24" s="37"/>
      <c r="AG24" s="38"/>
      <c r="AH24" s="38"/>
      <c r="AI24" s="37"/>
      <c r="AJ24" s="37"/>
    </row>
    <row r="25" ht="27.75" customHeight="1">
      <c r="A25" s="28" t="s">
        <v>884</v>
      </c>
      <c r="B25" s="30" t="s">
        <v>446</v>
      </c>
      <c r="C25" s="31" t="s">
        <v>885</v>
      </c>
      <c r="D25" s="31" t="s">
        <v>886</v>
      </c>
      <c r="E25" s="32" t="s">
        <v>140</v>
      </c>
      <c r="F25" s="34" t="s">
        <v>419</v>
      </c>
      <c r="G25" s="34" t="s">
        <v>420</v>
      </c>
      <c r="H25" s="34" t="s">
        <v>421</v>
      </c>
      <c r="I25" s="34" t="s">
        <v>105</v>
      </c>
      <c r="J25" s="34" t="s">
        <v>148</v>
      </c>
      <c r="K25" s="34" t="s">
        <v>150</v>
      </c>
      <c r="L25" s="30" t="s">
        <v>877</v>
      </c>
      <c r="M25" s="34" t="s">
        <v>165</v>
      </c>
      <c r="N25" s="31" t="s">
        <v>889</v>
      </c>
      <c r="O25" s="37"/>
      <c r="P25" s="37"/>
      <c r="Q25" s="37"/>
      <c r="R25" s="37"/>
      <c r="S25" s="37"/>
      <c r="T25" s="37"/>
      <c r="U25" s="37"/>
      <c r="V25" s="37"/>
      <c r="W25" s="37"/>
      <c r="X25" s="37"/>
      <c r="Y25" s="37"/>
      <c r="Z25" s="37"/>
      <c r="AA25" s="37"/>
      <c r="AB25" s="37"/>
      <c r="AC25" s="37"/>
      <c r="AD25" s="37"/>
      <c r="AE25" s="37"/>
      <c r="AF25" s="37"/>
      <c r="AG25" s="37"/>
      <c r="AH25" s="38"/>
      <c r="AI25" s="38"/>
      <c r="AJ25" s="37"/>
    </row>
    <row r="26" ht="27.75" customHeight="1">
      <c r="A26" s="28" t="s">
        <v>891</v>
      </c>
      <c r="B26" s="30" t="s">
        <v>446</v>
      </c>
      <c r="C26" s="31" t="s">
        <v>892</v>
      </c>
      <c r="D26" s="31" t="s">
        <v>893</v>
      </c>
      <c r="E26" s="32" t="s">
        <v>140</v>
      </c>
      <c r="F26" s="34" t="s">
        <v>451</v>
      </c>
      <c r="G26" s="34" t="s">
        <v>452</v>
      </c>
      <c r="H26" s="34" t="s">
        <v>453</v>
      </c>
      <c r="I26" s="34" t="s">
        <v>105</v>
      </c>
      <c r="J26" s="34" t="s">
        <v>148</v>
      </c>
      <c r="K26" s="34" t="s">
        <v>150</v>
      </c>
      <c r="L26" s="30" t="s">
        <v>884</v>
      </c>
      <c r="M26" s="34" t="s">
        <v>165</v>
      </c>
      <c r="N26" s="31"/>
      <c r="O26" s="37"/>
      <c r="P26" s="37"/>
      <c r="Q26" s="37"/>
      <c r="R26" s="37"/>
      <c r="S26" s="37"/>
      <c r="T26" s="37"/>
      <c r="U26" s="37"/>
      <c r="V26" s="37"/>
      <c r="W26" s="37"/>
      <c r="X26" s="37"/>
      <c r="Y26" s="37"/>
      <c r="Z26" s="37"/>
      <c r="AA26" s="37"/>
      <c r="AB26" s="37"/>
      <c r="AC26" s="37"/>
      <c r="AD26" s="37"/>
      <c r="AE26" s="37"/>
      <c r="AF26" s="37"/>
      <c r="AG26" s="37"/>
      <c r="AH26" s="37"/>
      <c r="AI26" s="38"/>
      <c r="AJ26" s="38"/>
    </row>
    <row r="27" ht="27.75" customHeight="1">
      <c r="A27" s="28" t="s">
        <v>849</v>
      </c>
      <c r="B27" s="30" t="s">
        <v>843</v>
      </c>
      <c r="C27" s="31" t="s">
        <v>894</v>
      </c>
      <c r="D27" s="31" t="s">
        <v>895</v>
      </c>
      <c r="E27" s="32" t="s">
        <v>140</v>
      </c>
      <c r="F27" s="34" t="s">
        <v>65</v>
      </c>
      <c r="G27" s="34" t="s">
        <v>376</v>
      </c>
      <c r="H27" s="34" t="s">
        <v>361</v>
      </c>
      <c r="I27" s="34" t="s">
        <v>105</v>
      </c>
      <c r="J27" s="34" t="s">
        <v>148</v>
      </c>
      <c r="K27" s="34" t="s">
        <v>150</v>
      </c>
      <c r="L27" s="30" t="s">
        <v>834</v>
      </c>
      <c r="M27" s="34" t="s">
        <v>165</v>
      </c>
      <c r="N27" s="31" t="s">
        <v>900</v>
      </c>
      <c r="O27" s="37"/>
      <c r="P27" s="37"/>
      <c r="Q27" s="37"/>
      <c r="R27" s="37"/>
      <c r="S27" s="37"/>
      <c r="T27" s="37"/>
      <c r="U27" s="37"/>
      <c r="V27" s="37"/>
      <c r="W27" s="37"/>
      <c r="X27" s="37"/>
      <c r="Y27" s="37"/>
      <c r="Z27" s="37"/>
      <c r="AA27" s="38"/>
      <c r="AB27" s="37"/>
      <c r="AC27" s="37"/>
      <c r="AD27" s="37"/>
      <c r="AE27" s="37"/>
      <c r="AF27" s="37"/>
      <c r="AG27" s="37"/>
      <c r="AH27" s="37"/>
      <c r="AI27" s="37"/>
      <c r="AJ27" s="37"/>
    </row>
    <row r="28" ht="39.0" customHeight="1">
      <c r="A28" s="28" t="s">
        <v>901</v>
      </c>
      <c r="B28" s="30" t="s">
        <v>153</v>
      </c>
      <c r="C28" s="31" t="s">
        <v>902</v>
      </c>
      <c r="D28" s="31" t="s">
        <v>903</v>
      </c>
      <c r="E28" s="32" t="s">
        <v>140</v>
      </c>
      <c r="F28" s="34" t="s">
        <v>48</v>
      </c>
      <c r="G28" s="34" t="s">
        <v>209</v>
      </c>
      <c r="H28" s="34" t="s">
        <v>233</v>
      </c>
      <c r="I28" s="34" t="s">
        <v>260</v>
      </c>
      <c r="J28" s="34" t="s">
        <v>148</v>
      </c>
      <c r="K28" s="34" t="s">
        <v>150</v>
      </c>
      <c r="L28" s="30" t="s">
        <v>760</v>
      </c>
      <c r="M28" s="34" t="s">
        <v>165</v>
      </c>
      <c r="N28" s="31" t="s">
        <v>904</v>
      </c>
      <c r="O28" s="37"/>
      <c r="P28" s="37"/>
      <c r="Q28" s="37"/>
      <c r="R28" s="38"/>
      <c r="S28" s="37"/>
      <c r="T28" s="37"/>
      <c r="U28" s="37"/>
      <c r="V28" s="37"/>
      <c r="W28" s="37"/>
      <c r="X28" s="37"/>
      <c r="Y28" s="37"/>
      <c r="Z28" s="37"/>
      <c r="AA28" s="37"/>
      <c r="AB28" s="37"/>
      <c r="AC28" s="37"/>
      <c r="AD28" s="37"/>
      <c r="AE28" s="37"/>
      <c r="AF28" s="37"/>
      <c r="AG28" s="37"/>
      <c r="AH28" s="37"/>
      <c r="AI28" s="37"/>
      <c r="AJ28" s="37"/>
    </row>
    <row r="29" ht="15.75" customHeight="1">
      <c r="A29" s="45" t="s">
        <v>907</v>
      </c>
      <c r="B29" s="32" t="s">
        <v>767</v>
      </c>
      <c r="C29" s="40" t="s">
        <v>910</v>
      </c>
      <c r="D29" s="40" t="s">
        <v>911</v>
      </c>
      <c r="E29" s="32" t="s">
        <v>140</v>
      </c>
      <c r="F29" s="35" t="s">
        <v>51</v>
      </c>
      <c r="G29" s="46">
        <v>46300.0</v>
      </c>
      <c r="H29" s="47">
        <v>46306.0</v>
      </c>
      <c r="I29" s="34" t="s">
        <v>260</v>
      </c>
      <c r="J29" s="34" t="s">
        <v>148</v>
      </c>
      <c r="K29" s="34" t="s">
        <v>150</v>
      </c>
      <c r="L29" s="32" t="s">
        <v>913</v>
      </c>
      <c r="M29" s="35" t="s">
        <v>174</v>
      </c>
      <c r="N29" s="40" t="s">
        <v>916</v>
      </c>
      <c r="O29" s="48"/>
      <c r="P29" s="48"/>
      <c r="Q29" s="48"/>
      <c r="R29" s="48"/>
      <c r="S29" s="48"/>
      <c r="T29" s="48"/>
      <c r="U29" s="48"/>
      <c r="V29" s="48"/>
      <c r="W29" s="48"/>
      <c r="X29" s="48"/>
      <c r="Y29" s="48"/>
      <c r="Z29" s="48"/>
      <c r="AA29" s="48"/>
      <c r="AB29" s="48"/>
      <c r="AC29" s="48"/>
      <c r="AD29" s="48"/>
      <c r="AE29" s="48"/>
      <c r="AF29" s="48"/>
      <c r="AG29" s="48"/>
      <c r="AH29" s="48"/>
      <c r="AI29" s="48"/>
      <c r="AJ29" s="48"/>
    </row>
    <row r="30" ht="21.0" customHeight="1">
      <c r="A30" s="45" t="s">
        <v>917</v>
      </c>
      <c r="B30" s="32" t="s">
        <v>767</v>
      </c>
      <c r="C30" s="40" t="s">
        <v>918</v>
      </c>
      <c r="D30" s="40" t="s">
        <v>919</v>
      </c>
      <c r="E30" s="32" t="s">
        <v>140</v>
      </c>
      <c r="F30" s="35" t="s">
        <v>51</v>
      </c>
      <c r="G30" s="46">
        <v>46300.0</v>
      </c>
      <c r="H30" s="47">
        <v>46306.0</v>
      </c>
      <c r="I30" s="34" t="s">
        <v>260</v>
      </c>
      <c r="J30" s="34" t="s">
        <v>148</v>
      </c>
      <c r="K30" s="34" t="s">
        <v>150</v>
      </c>
      <c r="L30" s="32" t="s">
        <v>907</v>
      </c>
      <c r="M30" s="35" t="s">
        <v>174</v>
      </c>
      <c r="N30" s="40" t="s">
        <v>920</v>
      </c>
      <c r="O30" s="48"/>
      <c r="P30" s="48"/>
      <c r="Q30" s="48"/>
      <c r="R30" s="48"/>
      <c r="S30" s="48"/>
      <c r="T30" s="48"/>
      <c r="U30" s="48"/>
      <c r="V30" s="48"/>
      <c r="W30" s="48"/>
      <c r="X30" s="48"/>
      <c r="Y30" s="48"/>
      <c r="Z30" s="48"/>
      <c r="AA30" s="48"/>
      <c r="AB30" s="48"/>
      <c r="AC30" s="48"/>
      <c r="AD30" s="48"/>
      <c r="AE30" s="48"/>
      <c r="AF30" s="48"/>
      <c r="AG30" s="48"/>
      <c r="AH30" s="48"/>
      <c r="AI30" s="48"/>
      <c r="AJ30" s="48"/>
    </row>
    <row r="31" ht="24.0" customHeight="1">
      <c r="A31" s="49" t="s">
        <v>924</v>
      </c>
      <c r="B31" s="50" t="s">
        <v>153</v>
      </c>
      <c r="C31" s="50" t="s">
        <v>925</v>
      </c>
      <c r="D31" s="50" t="s">
        <v>926</v>
      </c>
      <c r="E31" s="32" t="s">
        <v>140</v>
      </c>
      <c r="F31" s="50" t="s">
        <v>927</v>
      </c>
      <c r="G31" s="51">
        <v>46286.0</v>
      </c>
      <c r="H31" s="52">
        <v>46306.0</v>
      </c>
      <c r="I31" s="50" t="s">
        <v>105</v>
      </c>
      <c r="J31" s="50" t="s">
        <v>148</v>
      </c>
      <c r="K31" s="53">
        <v>0.0</v>
      </c>
      <c r="L31" s="50" t="s">
        <v>928</v>
      </c>
      <c r="M31" s="50" t="s">
        <v>174</v>
      </c>
      <c r="N31" s="50" t="s">
        <v>930</v>
      </c>
      <c r="AA31" s="54"/>
      <c r="AB31" s="54"/>
      <c r="AC31" s="54"/>
      <c r="AD31" s="54"/>
      <c r="AE31" s="54"/>
      <c r="AF31" s="54"/>
      <c r="AG31" s="54"/>
      <c r="AH31" s="54"/>
      <c r="AI31" s="54"/>
      <c r="AJ31" s="54"/>
    </row>
    <row r="32" ht="27.75" customHeight="1">
      <c r="A32" s="49" t="s">
        <v>932</v>
      </c>
      <c r="B32" s="50" t="s">
        <v>479</v>
      </c>
      <c r="C32" s="50" t="s">
        <v>933</v>
      </c>
      <c r="D32" s="50" t="s">
        <v>934</v>
      </c>
      <c r="E32" s="32" t="s">
        <v>140</v>
      </c>
      <c r="F32" s="50" t="s">
        <v>437</v>
      </c>
      <c r="G32" s="51">
        <v>46293.0</v>
      </c>
      <c r="H32" s="52">
        <v>46313.0</v>
      </c>
      <c r="I32" s="50" t="s">
        <v>105</v>
      </c>
      <c r="J32" s="50" t="s">
        <v>148</v>
      </c>
      <c r="K32" s="53">
        <v>0.0</v>
      </c>
      <c r="L32" s="50" t="s">
        <v>935</v>
      </c>
      <c r="M32" s="50" t="s">
        <v>174</v>
      </c>
      <c r="N32" s="50" t="s">
        <v>936</v>
      </c>
      <c r="AH32" s="54"/>
      <c r="AI32" s="54"/>
      <c r="AJ32" s="54"/>
    </row>
    <row r="33" ht="32.25" customHeight="1">
      <c r="A33" s="49" t="s">
        <v>937</v>
      </c>
      <c r="B33" s="50" t="s">
        <v>767</v>
      </c>
      <c r="C33" s="50" t="s">
        <v>938</v>
      </c>
      <c r="D33" s="50" t="s">
        <v>939</v>
      </c>
      <c r="E33" s="32" t="s">
        <v>140</v>
      </c>
      <c r="F33" s="50" t="s">
        <v>282</v>
      </c>
      <c r="G33" s="52">
        <v>46314.0</v>
      </c>
      <c r="H33" s="51">
        <v>46327.0</v>
      </c>
      <c r="I33" s="50" t="s">
        <v>105</v>
      </c>
      <c r="J33" s="50" t="s">
        <v>148</v>
      </c>
      <c r="K33" s="53">
        <v>0.0</v>
      </c>
      <c r="L33" s="50" t="s">
        <v>940</v>
      </c>
      <c r="M33" s="50" t="s">
        <v>174</v>
      </c>
      <c r="N33" s="50" t="s">
        <v>941</v>
      </c>
      <c r="Y33" s="54"/>
      <c r="Z33" s="54"/>
      <c r="AA33" s="54"/>
      <c r="AB33" s="54"/>
      <c r="AC33" s="54"/>
      <c r="AD33" s="54"/>
      <c r="AE33" s="54"/>
      <c r="AF33" s="54"/>
      <c r="AG33" s="54"/>
      <c r="AH33" s="54"/>
      <c r="AI33" s="54"/>
      <c r="AJ33" s="54"/>
    </row>
    <row r="34" ht="28.5" customHeight="1">
      <c r="A34" s="49" t="s">
        <v>942</v>
      </c>
      <c r="B34" s="50" t="s">
        <v>153</v>
      </c>
      <c r="C34" s="50" t="s">
        <v>943</v>
      </c>
      <c r="D34" s="50" t="s">
        <v>944</v>
      </c>
      <c r="E34" s="32" t="s">
        <v>140</v>
      </c>
      <c r="F34" s="50" t="s">
        <v>238</v>
      </c>
      <c r="G34" s="51">
        <v>46300.0</v>
      </c>
      <c r="H34" s="52">
        <v>46313.0</v>
      </c>
      <c r="I34" s="50" t="s">
        <v>105</v>
      </c>
      <c r="J34" s="50" t="s">
        <v>148</v>
      </c>
      <c r="K34" s="53">
        <v>0.0</v>
      </c>
      <c r="L34" s="50" t="s">
        <v>945</v>
      </c>
      <c r="M34" s="50" t="s">
        <v>174</v>
      </c>
      <c r="N34" s="50" t="s">
        <v>946</v>
      </c>
      <c r="AD34" s="54"/>
      <c r="AE34" s="54"/>
      <c r="AF34" s="54"/>
      <c r="AG34" s="54"/>
      <c r="AH34" s="54"/>
      <c r="AI34" s="54"/>
      <c r="AJ34" s="54"/>
    </row>
    <row r="35" ht="32.25" customHeight="1">
      <c r="A35" s="49" t="s">
        <v>947</v>
      </c>
      <c r="B35" s="50" t="s">
        <v>153</v>
      </c>
      <c r="C35" s="50" t="s">
        <v>948</v>
      </c>
      <c r="D35" s="50" t="s">
        <v>949</v>
      </c>
      <c r="E35" s="32" t="s">
        <v>140</v>
      </c>
      <c r="F35" s="50" t="s">
        <v>73</v>
      </c>
      <c r="G35" s="52">
        <v>46377.0</v>
      </c>
      <c r="H35" s="52">
        <v>46383.0</v>
      </c>
      <c r="I35" s="50" t="s">
        <v>260</v>
      </c>
      <c r="J35" s="50" t="s">
        <v>148</v>
      </c>
      <c r="K35" s="53">
        <v>0.0</v>
      </c>
      <c r="L35" s="50" t="s">
        <v>950</v>
      </c>
      <c r="M35" s="50" t="s">
        <v>174</v>
      </c>
      <c r="N35" s="50" t="s">
        <v>951</v>
      </c>
      <c r="W35" s="54"/>
      <c r="X35" s="54"/>
      <c r="Y35" s="54"/>
      <c r="Z35" s="54"/>
      <c r="AA35" s="54"/>
      <c r="AB35" s="54"/>
      <c r="AC35" s="54"/>
      <c r="AD35" s="54"/>
      <c r="AE35" s="54"/>
      <c r="AF35" s="54"/>
      <c r="AG35" s="54"/>
      <c r="AH35" s="54"/>
      <c r="AI35" s="54"/>
      <c r="AJ35" s="54"/>
    </row>
    <row r="36" ht="21.0" customHeight="1">
      <c r="A36" s="49" t="s">
        <v>952</v>
      </c>
      <c r="B36" s="50" t="s">
        <v>446</v>
      </c>
      <c r="C36" s="50" t="s">
        <v>953</v>
      </c>
      <c r="D36" s="50" t="s">
        <v>954</v>
      </c>
      <c r="E36" s="32" t="s">
        <v>140</v>
      </c>
      <c r="F36" s="50" t="s">
        <v>649</v>
      </c>
      <c r="G36" s="51">
        <v>46391.0</v>
      </c>
      <c r="H36" s="51">
        <v>46411.0</v>
      </c>
      <c r="I36" s="50" t="s">
        <v>105</v>
      </c>
      <c r="J36" s="50" t="s">
        <v>148</v>
      </c>
      <c r="K36" s="53">
        <v>0.0</v>
      </c>
      <c r="L36" s="50" t="s">
        <v>955</v>
      </c>
      <c r="M36" s="50" t="s">
        <v>174</v>
      </c>
      <c r="N36" s="50" t="s">
        <v>956</v>
      </c>
      <c r="AJ36" s="54"/>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2:$AJ$26"/>
  <mergeCells count="7">
    <mergeCell ref="A1:AJ1"/>
    <mergeCell ref="N31:Z31"/>
    <mergeCell ref="N32:AG32"/>
    <mergeCell ref="N33:X33"/>
    <mergeCell ref="N34:AC34"/>
    <mergeCell ref="N35:V35"/>
    <mergeCell ref="N36:AI36"/>
  </mergeCells>
  <conditionalFormatting sqref="J3:J30">
    <cfRule type="cellIs" dxfId="0" priority="1" operator="equal">
      <formula>"Hoàn thành"</formula>
    </cfRule>
  </conditionalFormatting>
  <conditionalFormatting sqref="J3:J30">
    <cfRule type="cellIs" dxfId="1" priority="2" operator="equal">
      <formula>"Đang làm"</formula>
    </cfRule>
  </conditionalFormatting>
  <conditionalFormatting sqref="J3:J30">
    <cfRule type="cellIs" dxfId="2" priority="3" operator="equal">
      <formula>"Đang review"</formula>
    </cfRule>
  </conditionalFormatting>
  <conditionalFormatting sqref="J3:J30">
    <cfRule type="cellIs" dxfId="3" priority="4" operator="equal">
      <formula>"Bị chặn"</formula>
    </cfRule>
  </conditionalFormatting>
  <conditionalFormatting sqref="J3:J30">
    <cfRule type="cellIs" dxfId="4" priority="5" operator="equal">
      <formula>"Chưa bắt đầu"</formula>
    </cfRule>
  </conditionalFormatting>
  <dataValidations>
    <dataValidation type="list" allowBlank="1" sqref="E3:E36">
      <formula1>"BE1 – Mỹ,BE2 – Đạt,FE1 – Thịnh,FE2 – Ngọc,FE3 – Khang,Cả nhóm,Chưa gán"</formula1>
    </dataValidation>
    <dataValidation type="list" allowBlank="1" sqref="J3:J30">
      <formula1>"Chưa bắt đầu,Đang làm,Đang review,Hoàn thành,Bị chặn"</formula1>
    </dataValidation>
    <dataValidation type="list" allowBlank="1" sqref="I3:I30">
      <formula1>"Cao,Trung bình,Thấp"</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3.0"/>
    <col customWidth="1" min="3" max="3" width="15.0"/>
    <col customWidth="1" min="4" max="4" width="13.0"/>
    <col customWidth="1" min="5" max="6" width="14.0"/>
    <col customWidth="1" min="7" max="7" width="12.0"/>
    <col customWidth="1" min="8" max="26" width="8.71"/>
  </cols>
  <sheetData>
    <row r="1">
      <c r="A1" s="3" t="s">
        <v>720</v>
      </c>
      <c r="B1" s="5"/>
      <c r="C1" s="5"/>
      <c r="D1" s="5"/>
      <c r="E1" s="5"/>
      <c r="F1" s="5"/>
      <c r="G1" s="2"/>
    </row>
    <row r="3">
      <c r="A3" s="29" t="s">
        <v>723</v>
      </c>
      <c r="B3" s="29" t="s">
        <v>726</v>
      </c>
      <c r="C3" s="29" t="s">
        <v>148</v>
      </c>
      <c r="D3" s="29" t="s">
        <v>521</v>
      </c>
      <c r="E3" s="29" t="s">
        <v>703</v>
      </c>
      <c r="F3" s="29" t="s">
        <v>108</v>
      </c>
      <c r="G3" s="29" t="s">
        <v>730</v>
      </c>
    </row>
    <row r="4">
      <c r="A4" s="33" t="s">
        <v>731</v>
      </c>
      <c r="B4" s="39">
        <f>COUNTA('Field Ops'!$A$3:$A$30)</f>
        <v>28</v>
      </c>
      <c r="C4" s="39">
        <f>COUNTIF('Field Ops'!$J$3:$J$30,"Chưa bắt đầu")</f>
        <v>26</v>
      </c>
      <c r="D4" s="39">
        <f>COUNTIF('Field Ops'!$J$3:$J$30,"Đang làm")</f>
        <v>0</v>
      </c>
      <c r="E4" s="39">
        <f>COUNTIF('Field Ops'!$J$3:$J$30,"Đang review")</f>
        <v>0</v>
      </c>
      <c r="F4" s="39">
        <f>COUNTIF('Field Ops'!$J$3:$J$30,"Hoàn thành")</f>
        <v>2</v>
      </c>
      <c r="G4" s="39">
        <f>COUNTIF('Field Ops'!$J$3:$J$30,"Bị chặn")</f>
        <v>0</v>
      </c>
    </row>
    <row r="5">
      <c r="A5" s="33" t="s">
        <v>765</v>
      </c>
      <c r="B5" s="39">
        <f>COUNTA(Backend!$A$3:$A$46)</f>
        <v>44</v>
      </c>
      <c r="C5" s="39">
        <f>COUNTIF(Backend!$J$3:$J$46,"Chưa bắt đầu")</f>
        <v>30</v>
      </c>
      <c r="D5" s="39">
        <f>COUNTIF(Backend!$J$3:$J$46,"Đang làm")</f>
        <v>1</v>
      </c>
      <c r="E5" s="39">
        <f>COUNTIF(Backend!$J$3:$J$46,"Đang review")</f>
        <v>0</v>
      </c>
      <c r="F5" s="39">
        <f>COUNTIF(Backend!$J$3:$J$46,"Hoàn thành")</f>
        <v>13</v>
      </c>
      <c r="G5" s="39">
        <f>COUNTIF(Backend!$J$3:$J$46,"Bị chặn")</f>
        <v>0</v>
      </c>
    </row>
    <row r="6">
      <c r="A6" s="33" t="s">
        <v>773</v>
      </c>
      <c r="B6" s="39">
        <f>COUNTA('IoT-Firmware'!$A$3:$A$20)</f>
        <v>18</v>
      </c>
      <c r="C6" s="39">
        <f>COUNTIF('IoT-Firmware'!$J$3:$J$20,"Chưa bắt đầu")</f>
        <v>18</v>
      </c>
      <c r="D6" s="39">
        <f>COUNTIF('IoT-Firmware'!$J$3:$J$20,"Đang làm")</f>
        <v>0</v>
      </c>
      <c r="E6" s="39">
        <f>COUNTIF('IoT-Firmware'!$J$3:$J$20,"Đang review")</f>
        <v>0</v>
      </c>
      <c r="F6" s="39">
        <f>COUNTIF('IoT-Firmware'!$J$3:$J$20,"Hoàn thành")</f>
        <v>0</v>
      </c>
      <c r="G6" s="39">
        <f>COUNTIF('IoT-Firmware'!$J$3:$J$20,"Bị chặn")</f>
        <v>0</v>
      </c>
    </row>
    <row r="7">
      <c r="A7" s="33" t="s">
        <v>786</v>
      </c>
      <c r="B7" s="39">
        <f>COUNTA('CV-Analytics'!$A$3:$A$23)</f>
        <v>21</v>
      </c>
      <c r="C7" s="39">
        <f>COUNTIF('CV-Analytics'!$J$3:$J$23,"Chưa bắt đầu")</f>
        <v>21</v>
      </c>
      <c r="D7" s="39">
        <f>COUNTIF('CV-Analytics'!$J$3:$J$23,"Đang làm")</f>
        <v>0</v>
      </c>
      <c r="E7" s="39">
        <f>COUNTIF('CV-Analytics'!$J$3:$J$23,"Đang review")</f>
        <v>0</v>
      </c>
      <c r="F7" s="39">
        <f>COUNTIF('CV-Analytics'!$J$3:$J$23,"Hoàn thành")</f>
        <v>0</v>
      </c>
      <c r="G7" s="39">
        <f>COUNTIF('CV-Analytics'!$J$3:$J$23,"Bị chặn")</f>
        <v>0</v>
      </c>
    </row>
    <row r="8">
      <c r="A8" s="33" t="s">
        <v>801</v>
      </c>
      <c r="B8" s="39">
        <f>COUNTA('Frontend-Desktop'!$A$3:$A$37)</f>
        <v>35</v>
      </c>
      <c r="C8" s="39">
        <f>COUNTIF('Frontend-Desktop'!$J$3:$J$37,"Chưa bắt đầu")</f>
        <v>28</v>
      </c>
      <c r="D8" s="39">
        <f>COUNTIF('Frontend-Desktop'!$J$3:$J$37,"Đang làm")</f>
        <v>1</v>
      </c>
      <c r="E8" s="39">
        <f>COUNTIF('Frontend-Desktop'!$J$3:$J$37,"Đang review")</f>
        <v>1</v>
      </c>
      <c r="F8" s="39">
        <f>COUNTIF('Frontend-Desktop'!$J$3:$J$37,"Hoàn thành")</f>
        <v>5</v>
      </c>
      <c r="G8" s="39">
        <f>COUNTIF('Frontend-Desktop'!$J$3:$J$37,"Bị chặn")</f>
        <v>0</v>
      </c>
    </row>
    <row r="9">
      <c r="A9" s="33" t="s">
        <v>820</v>
      </c>
      <c r="B9" s="39">
        <f>COUNTA('Frontend-Mobile'!$A$3:$A$26)</f>
        <v>24</v>
      </c>
      <c r="C9" s="39">
        <f>COUNTIF('Frontend-Mobile'!$J$3:$J$26,"Chưa bắt đầu")</f>
        <v>17</v>
      </c>
      <c r="D9" s="39">
        <f>COUNTIF('Frontend-Mobile'!$J$3:$J$26,"Đang làm")</f>
        <v>1</v>
      </c>
      <c r="E9" s="39">
        <f>COUNTIF('Frontend-Mobile'!$J$3:$J$26,"Đang review")</f>
        <v>0</v>
      </c>
      <c r="F9" s="39">
        <f>COUNTIF('Frontend-Mobile'!$J$3:$J$26,"Hoàn thành")</f>
        <v>6</v>
      </c>
      <c r="G9" s="39">
        <f>COUNTIF('Frontend-Mobile'!$J$3:$J$26,"Bị chặn")</f>
        <v>0</v>
      </c>
    </row>
    <row r="10">
      <c r="A10" s="43" t="s">
        <v>833</v>
      </c>
      <c r="B10" s="44">
        <f t="shared" ref="B10:G10" si="1">SUM(B4:B9)</f>
        <v>170</v>
      </c>
      <c r="C10" s="44">
        <f t="shared" si="1"/>
        <v>140</v>
      </c>
      <c r="D10" s="44">
        <f t="shared" si="1"/>
        <v>3</v>
      </c>
      <c r="E10" s="44">
        <f t="shared" si="1"/>
        <v>1</v>
      </c>
      <c r="F10" s="44">
        <f t="shared" si="1"/>
        <v>26</v>
      </c>
      <c r="G10" s="44">
        <f t="shared" si="1"/>
        <v>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
    <mergeCell ref="A1:G1"/>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0"/>
    <col customWidth="1" min="3" max="3" width="14.0"/>
    <col customWidth="1" min="4" max="4" width="12.0"/>
    <col customWidth="1" min="5" max="6" width="8.0"/>
    <col customWidth="1" min="7" max="8" width="14.0"/>
    <col customWidth="1" min="9" max="26" width="8.71"/>
  </cols>
  <sheetData>
    <row r="1">
      <c r="A1" s="41" t="s">
        <v>784</v>
      </c>
      <c r="B1" s="41" t="s">
        <v>37</v>
      </c>
      <c r="C1" s="41" t="s">
        <v>35</v>
      </c>
      <c r="D1" s="41" t="s">
        <v>42</v>
      </c>
      <c r="F1" s="41" t="s">
        <v>29</v>
      </c>
      <c r="G1" s="41" t="s">
        <v>31</v>
      </c>
      <c r="H1" s="41" t="s">
        <v>32</v>
      </c>
    </row>
    <row r="2">
      <c r="A2" s="42" t="s">
        <v>53</v>
      </c>
      <c r="B2" s="42" t="s">
        <v>148</v>
      </c>
      <c r="C2" s="42" t="s">
        <v>105</v>
      </c>
      <c r="D2" s="42" t="s">
        <v>165</v>
      </c>
      <c r="F2" s="42" t="s">
        <v>44</v>
      </c>
      <c r="G2" s="42" t="s">
        <v>101</v>
      </c>
      <c r="H2" s="42" t="s">
        <v>102</v>
      </c>
    </row>
    <row r="3">
      <c r="A3" s="42" t="s">
        <v>138</v>
      </c>
      <c r="B3" s="42" t="s">
        <v>521</v>
      </c>
      <c r="C3" s="42" t="s">
        <v>260</v>
      </c>
      <c r="D3" s="42" t="s">
        <v>112</v>
      </c>
      <c r="F3" s="42" t="s">
        <v>45</v>
      </c>
      <c r="G3" s="42" t="s">
        <v>147</v>
      </c>
      <c r="H3" s="42" t="s">
        <v>143</v>
      </c>
    </row>
    <row r="4">
      <c r="A4" s="42" t="s">
        <v>140</v>
      </c>
      <c r="B4" s="42" t="s">
        <v>703</v>
      </c>
      <c r="C4" s="42" t="s">
        <v>800</v>
      </c>
      <c r="D4" s="42" t="s">
        <v>174</v>
      </c>
      <c r="F4" s="42" t="s">
        <v>46</v>
      </c>
      <c r="G4" s="42" t="s">
        <v>193</v>
      </c>
      <c r="H4" s="42" t="s">
        <v>151</v>
      </c>
    </row>
    <row r="5">
      <c r="A5" s="42" t="s">
        <v>68</v>
      </c>
      <c r="B5" s="42" t="s">
        <v>108</v>
      </c>
      <c r="F5" s="42" t="s">
        <v>48</v>
      </c>
      <c r="G5" s="42" t="s">
        <v>209</v>
      </c>
      <c r="H5" s="42" t="s">
        <v>233</v>
      </c>
    </row>
    <row r="6">
      <c r="A6" s="42" t="s">
        <v>66</v>
      </c>
      <c r="B6" s="42" t="s">
        <v>730</v>
      </c>
      <c r="F6" s="42" t="s">
        <v>50</v>
      </c>
      <c r="G6" s="42" t="s">
        <v>223</v>
      </c>
      <c r="H6" s="42" t="s">
        <v>210</v>
      </c>
    </row>
    <row r="7">
      <c r="A7" s="42" t="s">
        <v>207</v>
      </c>
      <c r="F7" s="42" t="s">
        <v>51</v>
      </c>
      <c r="G7" s="42" t="s">
        <v>239</v>
      </c>
      <c r="H7" s="42" t="s">
        <v>224</v>
      </c>
    </row>
    <row r="8">
      <c r="A8" s="42" t="s">
        <v>802</v>
      </c>
      <c r="F8" s="42" t="s">
        <v>54</v>
      </c>
      <c r="G8" s="42" t="s">
        <v>252</v>
      </c>
      <c r="H8" s="42" t="s">
        <v>240</v>
      </c>
    </row>
    <row r="9">
      <c r="F9" s="42" t="s">
        <v>56</v>
      </c>
      <c r="G9" s="42" t="s">
        <v>269</v>
      </c>
      <c r="H9" s="42" t="s">
        <v>254</v>
      </c>
    </row>
    <row r="10">
      <c r="F10" s="42" t="s">
        <v>58</v>
      </c>
      <c r="G10" s="42" t="s">
        <v>294</v>
      </c>
      <c r="H10" s="42" t="s">
        <v>283</v>
      </c>
    </row>
    <row r="11">
      <c r="F11" s="42" t="s">
        <v>59</v>
      </c>
      <c r="G11" s="42" t="s">
        <v>319</v>
      </c>
      <c r="H11" s="42" t="s">
        <v>306</v>
      </c>
    </row>
    <row r="12">
      <c r="F12" s="42" t="s">
        <v>62</v>
      </c>
      <c r="G12" s="42" t="s">
        <v>344</v>
      </c>
      <c r="H12" s="42" t="s">
        <v>331</v>
      </c>
    </row>
    <row r="13">
      <c r="F13" s="42" t="s">
        <v>63</v>
      </c>
      <c r="G13" s="42" t="s">
        <v>360</v>
      </c>
      <c r="H13" s="42" t="s">
        <v>345</v>
      </c>
    </row>
    <row r="14">
      <c r="F14" s="42" t="s">
        <v>65</v>
      </c>
      <c r="G14" s="42" t="s">
        <v>376</v>
      </c>
      <c r="H14" s="42" t="s">
        <v>361</v>
      </c>
    </row>
    <row r="15">
      <c r="F15" s="42" t="s">
        <v>69</v>
      </c>
      <c r="G15" s="42" t="s">
        <v>379</v>
      </c>
      <c r="H15" s="42" t="s">
        <v>377</v>
      </c>
    </row>
    <row r="16">
      <c r="F16" s="42" t="s">
        <v>71</v>
      </c>
      <c r="G16" s="42" t="s">
        <v>391</v>
      </c>
      <c r="H16" s="42" t="s">
        <v>617</v>
      </c>
    </row>
    <row r="17">
      <c r="F17" s="42" t="s">
        <v>72</v>
      </c>
      <c r="G17" s="42" t="s">
        <v>631</v>
      </c>
      <c r="H17" s="42" t="s">
        <v>393</v>
      </c>
    </row>
    <row r="18">
      <c r="F18" s="42" t="s">
        <v>73</v>
      </c>
      <c r="G18" s="42" t="s">
        <v>567</v>
      </c>
      <c r="H18" s="42" t="s">
        <v>557</v>
      </c>
    </row>
    <row r="19">
      <c r="F19" s="42" t="s">
        <v>74</v>
      </c>
      <c r="G19" s="42" t="s">
        <v>576</v>
      </c>
      <c r="H19" s="42" t="s">
        <v>568</v>
      </c>
    </row>
    <row r="20">
      <c r="F20" s="42" t="s">
        <v>76</v>
      </c>
      <c r="G20" s="42" t="s">
        <v>418</v>
      </c>
      <c r="H20" s="42" t="s">
        <v>363</v>
      </c>
    </row>
    <row r="21" ht="15.75" customHeight="1">
      <c r="F21" s="42" t="s">
        <v>78</v>
      </c>
      <c r="G21" s="42" t="s">
        <v>420</v>
      </c>
      <c r="H21" s="42" t="s">
        <v>400</v>
      </c>
    </row>
    <row r="22" ht="15.75" customHeight="1">
      <c r="F22" s="42" t="s">
        <v>80</v>
      </c>
      <c r="G22" s="42" t="s">
        <v>452</v>
      </c>
      <c r="H22" s="42" t="s">
        <v>421</v>
      </c>
    </row>
    <row r="23" ht="15.75" customHeight="1">
      <c r="F23" s="42" t="s">
        <v>82</v>
      </c>
      <c r="G23" s="42" t="s">
        <v>818</v>
      </c>
      <c r="H23" s="42" t="s">
        <v>453</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